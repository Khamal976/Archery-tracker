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defaultThemeVersion="124226"/>
  <bookViews>
    <workbookView xWindow="-12" yWindow="-12" windowWidth="12612" windowHeight="10656"/>
  </bookViews>
  <sheets>
    <sheet name="Dynamic Spine Calculator" sheetId="2" r:id="rId1"/>
    <sheet name="Data Library" sheetId="6" r:id="rId2"/>
  </sheets>
  <definedNames>
    <definedName name="_xlnm._FilterDatabase" localSheetId="1" hidden="1">'Data Library'!$B$2:$C$2</definedName>
    <definedName name="_xlnm._FilterDatabase" localSheetId="0" hidden="1">'Dynamic Spine Calculator'!#REF!</definedName>
  </definedNames>
  <calcPr calcId="145621"/>
</workbook>
</file>

<file path=xl/calcChain.xml><?xml version="1.0" encoding="utf-8"?>
<calcChain xmlns="http://schemas.openxmlformats.org/spreadsheetml/2006/main">
  <c r="S4" i="6" l="1"/>
  <c r="F284" i="2"/>
  <c r="F282" i="2"/>
  <c r="F229" i="2"/>
  <c r="F234" i="2"/>
  <c r="F238" i="2"/>
  <c r="F299" i="2"/>
  <c r="F300" i="2"/>
  <c r="G136" i="2"/>
  <c r="G167" i="2"/>
  <c r="E167" i="2"/>
  <c r="F167" i="2"/>
  <c r="E136" i="2"/>
  <c r="F136" i="2"/>
  <c r="F230" i="2"/>
  <c r="G168" i="2"/>
  <c r="G169" i="2"/>
  <c r="G170" i="2"/>
  <c r="G171" i="2"/>
  <c r="E168" i="2"/>
  <c r="F168" i="2"/>
  <c r="E169" i="2"/>
  <c r="F169" i="2"/>
  <c r="E170" i="2"/>
  <c r="F170" i="2"/>
  <c r="E171" i="2"/>
  <c r="F171" i="2"/>
  <c r="G165" i="2"/>
  <c r="E165" i="2"/>
  <c r="F165" i="2"/>
  <c r="G163" i="2"/>
  <c r="E163" i="2"/>
  <c r="F163" i="2"/>
  <c r="G161" i="2"/>
  <c r="E161" i="2"/>
  <c r="F161" i="2"/>
  <c r="G159" i="2"/>
  <c r="E159" i="2"/>
  <c r="F159" i="2"/>
  <c r="E128" i="2"/>
  <c r="F128" i="2"/>
  <c r="E126" i="2"/>
  <c r="F126" i="2"/>
  <c r="E124" i="2"/>
  <c r="F124" i="2"/>
  <c r="E122" i="2"/>
  <c r="F122" i="2"/>
  <c r="G128" i="2"/>
  <c r="G126" i="2"/>
  <c r="G124" i="2"/>
  <c r="G122" i="2"/>
  <c r="E117" i="2"/>
  <c r="F117" i="2"/>
  <c r="E118" i="2"/>
  <c r="F118" i="2"/>
  <c r="E120" i="2"/>
  <c r="E119" i="2"/>
  <c r="F119" i="2"/>
  <c r="F120" i="2"/>
  <c r="G118" i="2"/>
  <c r="G120" i="2"/>
  <c r="G119" i="2"/>
  <c r="G117" i="2"/>
  <c r="F209" i="2"/>
  <c r="X4" i="6"/>
  <c r="W4" i="6"/>
  <c r="V4" i="6"/>
  <c r="F205" i="2"/>
  <c r="AA4" i="6" s="1"/>
  <c r="L4" i="6"/>
  <c r="K4" i="6"/>
  <c r="J4" i="6"/>
  <c r="I4" i="6"/>
  <c r="H4" i="6"/>
  <c r="C4" i="6"/>
  <c r="H33" i="2"/>
  <c r="N4" i="6"/>
  <c r="AF9" i="6"/>
  <c r="AF8" i="6"/>
  <c r="AF7" i="6"/>
  <c r="AF6" i="6"/>
  <c r="AF5" i="6"/>
  <c r="AF4" i="6"/>
  <c r="AF3" i="6"/>
  <c r="AF2" i="6"/>
  <c r="AF1" i="6"/>
  <c r="F298" i="2"/>
  <c r="F292" i="2"/>
  <c r="F233" i="2"/>
  <c r="F276" i="2"/>
  <c r="F293" i="2"/>
  <c r="F211" i="2"/>
  <c r="F264" i="2"/>
  <c r="F296" i="2"/>
  <c r="F272" i="2"/>
  <c r="F254" i="2"/>
  <c r="F228" i="2"/>
  <c r="F231" i="2"/>
  <c r="F206" i="2"/>
  <c r="F208" i="2"/>
  <c r="M22" i="2"/>
  <c r="F214" i="2"/>
  <c r="F218" i="2"/>
  <c r="F220" i="2"/>
  <c r="F222" i="2"/>
  <c r="F224" i="2"/>
  <c r="F226" i="2"/>
  <c r="F235" i="2"/>
  <c r="F239" i="2"/>
  <c r="F241" i="2"/>
  <c r="F244" i="2"/>
  <c r="F246" i="2"/>
  <c r="F250" i="2"/>
  <c r="F251" i="2"/>
  <c r="F252" i="2"/>
  <c r="F256" i="2"/>
  <c r="F257" i="2"/>
  <c r="F258" i="2"/>
  <c r="F259" i="2"/>
  <c r="F260" i="2"/>
  <c r="F261" i="2"/>
  <c r="F262" i="2"/>
  <c r="F263" i="2"/>
  <c r="F265" i="2"/>
  <c r="F266" i="2"/>
  <c r="F271" i="2"/>
  <c r="F280" i="2"/>
  <c r="F281" i="2"/>
  <c r="F285" i="2"/>
  <c r="F279" i="2"/>
  <c r="F269" i="2"/>
  <c r="F253" i="2"/>
  <c r="F290" i="2"/>
  <c r="F286" i="2"/>
  <c r="F287" i="2"/>
  <c r="F207" i="2"/>
  <c r="F283" i="2"/>
  <c r="F301" i="2"/>
  <c r="F249" i="2"/>
  <c r="F217" i="2"/>
  <c r="F304" i="2"/>
  <c r="F247" i="2"/>
  <c r="F306" i="2"/>
  <c r="F305" i="2"/>
  <c r="F268" i="2"/>
  <c r="F267" i="2"/>
  <c r="F275" i="2"/>
  <c r="F273" i="2"/>
  <c r="F274" i="2"/>
  <c r="F243" i="2"/>
  <c r="F289" i="2"/>
  <c r="F288" i="2"/>
  <c r="F302" i="2"/>
  <c r="F307" i="2"/>
  <c r="F295" i="2"/>
  <c r="I203" i="2"/>
  <c r="S110" i="2"/>
  <c r="S108" i="2"/>
  <c r="S106" i="2"/>
  <c r="S104" i="2"/>
  <c r="S102" i="2"/>
  <c r="S96" i="2"/>
  <c r="S94" i="2"/>
  <c r="S88" i="2"/>
  <c r="S86" i="2"/>
  <c r="S78" i="2"/>
  <c r="S76" i="2"/>
  <c r="S74" i="2"/>
  <c r="S72" i="2"/>
  <c r="S70" i="2"/>
  <c r="S68" i="2"/>
  <c r="S66" i="2"/>
  <c r="S64" i="2"/>
  <c r="S62" i="2"/>
  <c r="S60" i="2"/>
  <c r="S58" i="2"/>
  <c r="S56" i="2"/>
  <c r="S54" i="2"/>
  <c r="S52" i="2"/>
  <c r="S50" i="2"/>
  <c r="S48" i="2"/>
  <c r="S46" i="2"/>
  <c r="S44" i="2"/>
  <c r="S42" i="2"/>
  <c r="S40" i="2"/>
  <c r="S38" i="2"/>
  <c r="S36" i="2"/>
  <c r="S34" i="2"/>
  <c r="S32" i="2"/>
  <c r="S30" i="2"/>
  <c r="S80" i="2"/>
  <c r="S28" i="2"/>
  <c r="S26" i="2"/>
  <c r="S24" i="2"/>
  <c r="S113" i="2"/>
  <c r="S112" i="2"/>
  <c r="S99" i="2"/>
  <c r="S100" i="2"/>
  <c r="S91" i="2"/>
  <c r="S90" i="2"/>
  <c r="S83" i="2"/>
  <c r="S84" i="2"/>
  <c r="E255" i="2"/>
  <c r="F255" i="2"/>
  <c r="E236" i="2"/>
  <c r="F236" i="2"/>
  <c r="F291" i="2"/>
  <c r="F297" i="2"/>
  <c r="S92" i="2"/>
  <c r="F203" i="2"/>
  <c r="F204" i="2"/>
  <c r="I84" i="2"/>
  <c r="G84" i="2"/>
  <c r="E84" i="2"/>
  <c r="F84" i="2"/>
  <c r="I83" i="2"/>
  <c r="G83" i="2"/>
  <c r="E83" i="2"/>
  <c r="F83" i="2"/>
  <c r="I82" i="2"/>
  <c r="G82" i="2"/>
  <c r="E82" i="2"/>
  <c r="F82" i="2"/>
  <c r="I81" i="2"/>
  <c r="G81" i="2"/>
  <c r="E81" i="2"/>
  <c r="F81" i="2"/>
  <c r="G196" i="2"/>
  <c r="G197" i="2"/>
  <c r="G198" i="2"/>
  <c r="I196" i="2"/>
  <c r="I197" i="2"/>
  <c r="I198" i="2"/>
  <c r="E198" i="2"/>
  <c r="F198" i="2"/>
  <c r="E197" i="2"/>
  <c r="F197" i="2"/>
  <c r="E196" i="2"/>
  <c r="F196" i="2"/>
  <c r="G34" i="2"/>
  <c r="E34" i="2"/>
  <c r="F34" i="2"/>
  <c r="I108" i="2"/>
  <c r="G115" i="2"/>
  <c r="G108" i="2"/>
  <c r="G116" i="2"/>
  <c r="G109" i="2"/>
  <c r="G110" i="2"/>
  <c r="G111" i="2"/>
  <c r="G112" i="2"/>
  <c r="G113" i="2"/>
  <c r="G114" i="2"/>
  <c r="E115" i="2"/>
  <c r="F115" i="2"/>
  <c r="E108" i="2"/>
  <c r="F108" i="2"/>
  <c r="E116" i="2"/>
  <c r="F116" i="2"/>
  <c r="E109" i="2"/>
  <c r="F109" i="2"/>
  <c r="E110" i="2"/>
  <c r="F110" i="2"/>
  <c r="E111" i="2"/>
  <c r="F111" i="2"/>
  <c r="E112" i="2"/>
  <c r="F112" i="2"/>
  <c r="E113" i="2"/>
  <c r="F113" i="2"/>
  <c r="E114" i="2"/>
  <c r="F114" i="2"/>
  <c r="I114" i="2"/>
  <c r="I113" i="2"/>
  <c r="I112" i="2"/>
  <c r="I111" i="2"/>
  <c r="I110" i="2"/>
  <c r="I109" i="2"/>
  <c r="E135" i="2"/>
  <c r="F135" i="2"/>
  <c r="E134" i="2"/>
  <c r="F134" i="2"/>
  <c r="E133" i="2"/>
  <c r="F133" i="2"/>
  <c r="E132" i="2"/>
  <c r="F132" i="2"/>
  <c r="E131" i="2"/>
  <c r="F131" i="2"/>
  <c r="E130" i="2"/>
  <c r="F130" i="2"/>
  <c r="G135" i="2"/>
  <c r="G134" i="2"/>
  <c r="G133" i="2"/>
  <c r="G132" i="2"/>
  <c r="G131" i="2"/>
  <c r="G130" i="2"/>
  <c r="I135" i="2"/>
  <c r="I134" i="2"/>
  <c r="R34" i="2"/>
  <c r="R29" i="2"/>
  <c r="R23" i="2"/>
  <c r="R30" i="2"/>
  <c r="R24" i="2"/>
  <c r="R31" i="2"/>
  <c r="R25" i="2"/>
  <c r="G99" i="2"/>
  <c r="G100" i="2"/>
  <c r="G101" i="2"/>
  <c r="G102" i="2"/>
  <c r="G103" i="2"/>
  <c r="G98" i="2"/>
  <c r="E99" i="2"/>
  <c r="F99" i="2"/>
  <c r="E100" i="2"/>
  <c r="F100" i="2"/>
  <c r="E101" i="2"/>
  <c r="F101" i="2"/>
  <c r="E102" i="2"/>
  <c r="F102" i="2"/>
  <c r="E103" i="2"/>
  <c r="F103" i="2"/>
  <c r="E98" i="2"/>
  <c r="F98" i="2"/>
  <c r="P50" i="2"/>
  <c r="G180" i="2"/>
  <c r="G181" i="2"/>
  <c r="G182" i="2"/>
  <c r="G183" i="2"/>
  <c r="G184" i="2"/>
  <c r="G185" i="2"/>
  <c r="E185" i="2"/>
  <c r="F185" i="2"/>
  <c r="E184" i="2"/>
  <c r="F184" i="2"/>
  <c r="E183" i="2"/>
  <c r="F183" i="2"/>
  <c r="E182" i="2"/>
  <c r="F182" i="2"/>
  <c r="E181" i="2"/>
  <c r="F181" i="2"/>
  <c r="E180" i="2"/>
  <c r="F180" i="2"/>
  <c r="I30" i="2"/>
  <c r="G30" i="2"/>
  <c r="E30" i="2"/>
  <c r="F30" i="2"/>
  <c r="I187" i="2"/>
  <c r="I189" i="2"/>
  <c r="I188" i="2"/>
  <c r="I186" i="2"/>
  <c r="G187" i="2"/>
  <c r="G188" i="2"/>
  <c r="G189" i="2"/>
  <c r="G186" i="2"/>
  <c r="E189" i="2"/>
  <c r="F189" i="2"/>
  <c r="E188" i="2"/>
  <c r="F188" i="2"/>
  <c r="E187" i="2"/>
  <c r="F187" i="2"/>
  <c r="E186" i="2"/>
  <c r="F186" i="2"/>
  <c r="G139" i="2"/>
  <c r="G140" i="2"/>
  <c r="G141" i="2"/>
  <c r="G142" i="2"/>
  <c r="G143" i="2"/>
  <c r="G137" i="2"/>
  <c r="G138" i="2"/>
  <c r="E138" i="2"/>
  <c r="F138" i="2"/>
  <c r="E137" i="2"/>
  <c r="F137" i="2"/>
  <c r="E143" i="2"/>
  <c r="F143" i="2"/>
  <c r="E142" i="2"/>
  <c r="F142" i="2"/>
  <c r="E141" i="2"/>
  <c r="F141" i="2"/>
  <c r="E140" i="2"/>
  <c r="F140" i="2"/>
  <c r="E139" i="2"/>
  <c r="F139" i="2"/>
  <c r="I199" i="2"/>
  <c r="I146" i="2"/>
  <c r="I145" i="2"/>
  <c r="I144" i="2"/>
  <c r="G146" i="2"/>
  <c r="G145" i="2"/>
  <c r="G144" i="2"/>
  <c r="E146" i="2"/>
  <c r="F146" i="2"/>
  <c r="E145" i="2"/>
  <c r="F145" i="2"/>
  <c r="E144" i="2"/>
  <c r="F144" i="2"/>
  <c r="E150" i="2"/>
  <c r="F150" i="2"/>
  <c r="E149" i="2"/>
  <c r="F149" i="2"/>
  <c r="E148" i="2"/>
  <c r="F148" i="2"/>
  <c r="E147" i="2"/>
  <c r="F147" i="2"/>
  <c r="G150" i="2"/>
  <c r="G149" i="2"/>
  <c r="G148" i="2"/>
  <c r="G147" i="2"/>
  <c r="I192" i="2"/>
  <c r="G193" i="2"/>
  <c r="H193" i="2"/>
  <c r="E193" i="2"/>
  <c r="F193" i="2"/>
  <c r="I193" i="2"/>
  <c r="I93" i="2"/>
  <c r="G93" i="2"/>
  <c r="H93" i="2"/>
  <c r="E93" i="2"/>
  <c r="F93" i="2"/>
  <c r="P47" i="2"/>
  <c r="P45" i="2"/>
  <c r="P43" i="2"/>
  <c r="I195" i="2"/>
  <c r="E195" i="2"/>
  <c r="F195" i="2"/>
  <c r="G195" i="2"/>
  <c r="I157" i="2"/>
  <c r="I156" i="2"/>
  <c r="I155" i="2"/>
  <c r="I154" i="2"/>
  <c r="I153" i="2"/>
  <c r="I152" i="2"/>
  <c r="I151" i="2"/>
  <c r="G152" i="2"/>
  <c r="G153" i="2"/>
  <c r="G154" i="2"/>
  <c r="G155" i="2"/>
  <c r="G156" i="2"/>
  <c r="G157" i="2"/>
  <c r="G151" i="2"/>
  <c r="E151" i="2"/>
  <c r="F151" i="2"/>
  <c r="E152" i="2"/>
  <c r="F152" i="2"/>
  <c r="E153" i="2"/>
  <c r="F153" i="2"/>
  <c r="E154" i="2"/>
  <c r="F154" i="2"/>
  <c r="E155" i="2"/>
  <c r="F155" i="2"/>
  <c r="E156" i="2"/>
  <c r="F156" i="2"/>
  <c r="E157" i="2"/>
  <c r="F157" i="2"/>
  <c r="E107" i="2"/>
  <c r="F107" i="2"/>
  <c r="G107" i="2"/>
  <c r="G106" i="2"/>
  <c r="E106" i="2"/>
  <c r="F106" i="2"/>
  <c r="E129" i="2"/>
  <c r="F129" i="2"/>
  <c r="E127" i="2"/>
  <c r="F127" i="2"/>
  <c r="E125" i="2"/>
  <c r="F125" i="2"/>
  <c r="E123" i="2"/>
  <c r="F123" i="2"/>
  <c r="E121" i="2"/>
  <c r="F121" i="2"/>
  <c r="I123" i="2"/>
  <c r="I121" i="2"/>
  <c r="I129" i="2"/>
  <c r="G121" i="2"/>
  <c r="G123" i="2"/>
  <c r="G125" i="2"/>
  <c r="G127" i="2"/>
  <c r="G129" i="2"/>
  <c r="E80" i="2"/>
  <c r="F80" i="2"/>
  <c r="G80" i="2"/>
  <c r="G79" i="2"/>
  <c r="E79" i="2"/>
  <c r="F79" i="2"/>
  <c r="R26" i="2"/>
  <c r="R27" i="2"/>
  <c r="M21" i="2"/>
  <c r="N5" i="2" s="1"/>
  <c r="M4" i="6" s="1"/>
  <c r="E158" i="2"/>
  <c r="F158" i="2"/>
  <c r="E160" i="2"/>
  <c r="F160" i="2"/>
  <c r="E162" i="2"/>
  <c r="F162" i="2"/>
  <c r="E164" i="2"/>
  <c r="F164" i="2"/>
  <c r="E166" i="2"/>
  <c r="F166" i="2"/>
  <c r="G166" i="2"/>
  <c r="G164" i="2"/>
  <c r="G162" i="2"/>
  <c r="G160" i="2"/>
  <c r="G158" i="2"/>
  <c r="I194" i="2"/>
  <c r="I74" i="2"/>
  <c r="I75" i="2"/>
  <c r="I76" i="2"/>
  <c r="I77" i="2"/>
  <c r="G78" i="2"/>
  <c r="G77" i="2"/>
  <c r="G76" i="2"/>
  <c r="G75" i="2"/>
  <c r="G74" i="2"/>
  <c r="G104" i="2"/>
  <c r="G105" i="2"/>
  <c r="I190" i="2"/>
  <c r="I191" i="2"/>
  <c r="E89" i="2"/>
  <c r="F89" i="2"/>
  <c r="E90" i="2"/>
  <c r="F90" i="2"/>
  <c r="E91" i="2"/>
  <c r="F91" i="2"/>
  <c r="E92" i="2"/>
  <c r="F92" i="2"/>
  <c r="E85" i="2"/>
  <c r="F85" i="2"/>
  <c r="E86" i="2"/>
  <c r="F86" i="2"/>
  <c r="E87" i="2"/>
  <c r="F87" i="2"/>
  <c r="E88" i="2"/>
  <c r="F88" i="2"/>
  <c r="E104" i="2"/>
  <c r="F104" i="2"/>
  <c r="E105" i="2"/>
  <c r="F105" i="2"/>
  <c r="E78" i="2"/>
  <c r="F78" i="2"/>
  <c r="E77" i="2"/>
  <c r="F77" i="2"/>
  <c r="E76" i="2"/>
  <c r="F76" i="2"/>
  <c r="E75" i="2"/>
  <c r="F75" i="2"/>
  <c r="E74" i="2"/>
  <c r="F74" i="2"/>
  <c r="G90" i="2"/>
  <c r="G91" i="2"/>
  <c r="G92" i="2"/>
  <c r="G85" i="2"/>
  <c r="G86" i="2"/>
  <c r="G87" i="2"/>
  <c r="G88" i="2"/>
  <c r="G89" i="2"/>
  <c r="I73" i="2"/>
  <c r="I72" i="2"/>
  <c r="I71" i="2"/>
  <c r="I70" i="2"/>
  <c r="I69" i="2"/>
  <c r="I68" i="2"/>
  <c r="I67" i="2"/>
  <c r="I66" i="2"/>
  <c r="I65" i="2"/>
  <c r="I64" i="2"/>
  <c r="I63" i="2"/>
  <c r="I62" i="2"/>
  <c r="I61" i="2"/>
  <c r="I60" i="2"/>
  <c r="I59" i="2"/>
  <c r="I58" i="2"/>
  <c r="I57" i="2"/>
  <c r="I54" i="2"/>
  <c r="I53" i="2"/>
  <c r="I52" i="2"/>
  <c r="I51" i="2"/>
  <c r="I48" i="2"/>
  <c r="I49" i="2"/>
  <c r="I50" i="2"/>
  <c r="I47" i="2"/>
  <c r="I44" i="2"/>
  <c r="I45" i="2"/>
  <c r="I46" i="2"/>
  <c r="I43" i="2"/>
  <c r="I40" i="2"/>
  <c r="I41" i="2"/>
  <c r="I42" i="2"/>
  <c r="I39" i="2"/>
  <c r="I36" i="2"/>
  <c r="I33" i="2"/>
  <c r="P22" i="2"/>
  <c r="I37" i="2"/>
  <c r="I38" i="2"/>
  <c r="I35" i="2"/>
  <c r="I32" i="2"/>
  <c r="I31" i="2"/>
  <c r="I29" i="2"/>
  <c r="I28" i="2"/>
  <c r="I27" i="2"/>
  <c r="I26" i="2"/>
  <c r="I25" i="2"/>
  <c r="I55" i="2"/>
  <c r="I56" i="2"/>
  <c r="I24" i="2"/>
  <c r="I23" i="2"/>
  <c r="H55" i="2"/>
  <c r="H56" i="2"/>
  <c r="H57" i="2"/>
  <c r="H58" i="2"/>
  <c r="H59" i="2"/>
  <c r="H60" i="2"/>
  <c r="H61" i="2"/>
  <c r="H62" i="2"/>
  <c r="H63" i="2"/>
  <c r="H65" i="2"/>
  <c r="H64" i="2"/>
  <c r="H67" i="2"/>
  <c r="H66" i="2"/>
  <c r="H69" i="2"/>
  <c r="H68" i="2"/>
  <c r="H71" i="2"/>
  <c r="H70" i="2"/>
  <c r="H72" i="2"/>
  <c r="H73" i="2"/>
  <c r="E55" i="2"/>
  <c r="F55" i="2"/>
  <c r="E56" i="2"/>
  <c r="F56" i="2"/>
  <c r="E57" i="2"/>
  <c r="F57" i="2"/>
  <c r="E58" i="2"/>
  <c r="F58" i="2"/>
  <c r="E59" i="2"/>
  <c r="F59" i="2"/>
  <c r="E60" i="2"/>
  <c r="F60" i="2"/>
  <c r="E61" i="2"/>
  <c r="F61" i="2"/>
  <c r="E62" i="2"/>
  <c r="F62" i="2"/>
  <c r="E63" i="2"/>
  <c r="F63" i="2"/>
  <c r="E65" i="2"/>
  <c r="F65" i="2"/>
  <c r="E64" i="2"/>
  <c r="F64" i="2"/>
  <c r="E67" i="2"/>
  <c r="F67" i="2"/>
  <c r="E66" i="2"/>
  <c r="F66" i="2"/>
  <c r="E69" i="2"/>
  <c r="F69" i="2"/>
  <c r="E68" i="2"/>
  <c r="F68" i="2"/>
  <c r="E71" i="2"/>
  <c r="F71" i="2"/>
  <c r="E70" i="2"/>
  <c r="F70" i="2"/>
  <c r="E72" i="2"/>
  <c r="F72" i="2"/>
  <c r="E73" i="2"/>
  <c r="F73" i="2"/>
  <c r="E54" i="2"/>
  <c r="F54" i="2"/>
  <c r="E172" i="2"/>
  <c r="F172" i="2"/>
  <c r="E173" i="2"/>
  <c r="F173" i="2"/>
  <c r="F18" i="2"/>
  <c r="E32" i="2"/>
  <c r="F32" i="2"/>
  <c r="H32" i="2"/>
  <c r="H199" i="2"/>
  <c r="F199" i="2"/>
  <c r="E199" i="2"/>
  <c r="D199" i="2"/>
  <c r="G192" i="2"/>
  <c r="H192" i="2"/>
  <c r="G191" i="2"/>
  <c r="H191" i="2"/>
  <c r="G190" i="2"/>
  <c r="H190" i="2"/>
  <c r="F19" i="2"/>
  <c r="H194" i="2"/>
  <c r="G194" i="2"/>
  <c r="F194" i="2"/>
  <c r="E194" i="2"/>
  <c r="D194" i="2"/>
  <c r="H200" i="2"/>
  <c r="E200" i="2"/>
  <c r="F200" i="2"/>
  <c r="E192" i="2"/>
  <c r="F192" i="2"/>
  <c r="E191" i="2"/>
  <c r="F191" i="2"/>
  <c r="E190" i="2"/>
  <c r="F190" i="2"/>
  <c r="H47" i="2"/>
  <c r="E47" i="2"/>
  <c r="F47" i="2"/>
  <c r="E94" i="2"/>
  <c r="F94" i="2"/>
  <c r="E97" i="2"/>
  <c r="F97" i="2"/>
  <c r="E96" i="2"/>
  <c r="F96" i="2"/>
  <c r="E95" i="2"/>
  <c r="F95" i="2"/>
  <c r="G97" i="2"/>
  <c r="H97" i="2"/>
  <c r="G96" i="2"/>
  <c r="H96" i="2"/>
  <c r="G95" i="2"/>
  <c r="H95" i="2"/>
  <c r="G94" i="2"/>
  <c r="H94" i="2"/>
  <c r="G172" i="2"/>
  <c r="H172" i="2"/>
  <c r="G173" i="2"/>
  <c r="H173" i="2"/>
  <c r="G174" i="2"/>
  <c r="H174" i="2"/>
  <c r="G175" i="2"/>
  <c r="H175" i="2"/>
  <c r="G179" i="2"/>
  <c r="H179" i="2"/>
  <c r="G178" i="2"/>
  <c r="H178" i="2"/>
  <c r="G177" i="2"/>
  <c r="H177" i="2"/>
  <c r="G176" i="2"/>
  <c r="H176" i="2"/>
  <c r="E178" i="2"/>
  <c r="F178" i="2"/>
  <c r="E179" i="2"/>
  <c r="F179" i="2"/>
  <c r="E176" i="2"/>
  <c r="F176" i="2"/>
  <c r="E175" i="2"/>
  <c r="F175" i="2"/>
  <c r="E174" i="2"/>
  <c r="F174" i="2"/>
  <c r="E177" i="2"/>
  <c r="F177" i="2"/>
  <c r="H54" i="2"/>
  <c r="R28" i="2"/>
  <c r="E24" i="2"/>
  <c r="F24" i="2"/>
  <c r="E25" i="2"/>
  <c r="F25" i="2"/>
  <c r="E26" i="2"/>
  <c r="F26" i="2"/>
  <c r="E28" i="2"/>
  <c r="F28" i="2"/>
  <c r="E27" i="2"/>
  <c r="F27" i="2"/>
  <c r="E31" i="2"/>
  <c r="F31" i="2"/>
  <c r="E29" i="2"/>
  <c r="F29" i="2"/>
  <c r="E35" i="2"/>
  <c r="F35" i="2"/>
  <c r="E33" i="2"/>
  <c r="F33" i="2"/>
  <c r="E39" i="2"/>
  <c r="F39" i="2"/>
  <c r="E38" i="2"/>
  <c r="F38" i="2"/>
  <c r="E52" i="2"/>
  <c r="F52" i="2"/>
  <c r="E36" i="2"/>
  <c r="E40" i="2"/>
  <c r="F40" i="2"/>
  <c r="E43" i="2"/>
  <c r="F43" i="2"/>
  <c r="E41" i="2"/>
  <c r="F41" i="2"/>
  <c r="E37" i="2"/>
  <c r="F37" i="2"/>
  <c r="E44" i="2"/>
  <c r="F44" i="2"/>
  <c r="E42" i="2"/>
  <c r="F42" i="2"/>
  <c r="E48" i="2"/>
  <c r="F48" i="2"/>
  <c r="E45" i="2"/>
  <c r="F45" i="2"/>
  <c r="E51" i="2"/>
  <c r="F51" i="2"/>
  <c r="E49" i="2"/>
  <c r="F49" i="2"/>
  <c r="E46" i="2"/>
  <c r="F46" i="2"/>
  <c r="E53" i="2"/>
  <c r="F53" i="2"/>
  <c r="E50" i="2"/>
  <c r="F50" i="2"/>
  <c r="E23" i="2"/>
  <c r="F23" i="2"/>
  <c r="H24" i="2"/>
  <c r="H25" i="2"/>
  <c r="H26" i="2"/>
  <c r="H28" i="2"/>
  <c r="H27" i="2"/>
  <c r="H31" i="2"/>
  <c r="H29" i="2"/>
  <c r="H35" i="2"/>
  <c r="H39" i="2"/>
  <c r="H38" i="2"/>
  <c r="H52" i="2"/>
  <c r="H36" i="2"/>
  <c r="L5" i="2"/>
  <c r="T21" i="2" s="1"/>
  <c r="H40" i="2"/>
  <c r="H43" i="2"/>
  <c r="H41" i="2"/>
  <c r="H37" i="2"/>
  <c r="H44" i="2"/>
  <c r="H42" i="2"/>
  <c r="H48" i="2"/>
  <c r="H45" i="2"/>
  <c r="H51" i="2"/>
  <c r="H49" i="2"/>
  <c r="H46" i="2"/>
  <c r="H53" i="2"/>
  <c r="H50" i="2"/>
  <c r="H23" i="2"/>
  <c r="F245" i="2"/>
  <c r="F242" i="2"/>
  <c r="F240" i="2"/>
  <c r="F237" i="2"/>
  <c r="F227" i="2"/>
  <c r="F225" i="2"/>
  <c r="F223" i="2"/>
  <c r="F221" i="2"/>
  <c r="F219" i="2"/>
  <c r="F215" i="2"/>
  <c r="F210" i="2"/>
  <c r="F248" i="2"/>
  <c r="F303" i="2"/>
  <c r="F216" i="2"/>
  <c r="F270" i="2"/>
  <c r="F294" i="2"/>
  <c r="F213" i="2"/>
  <c r="F212" i="2"/>
  <c r="F278" i="2"/>
  <c r="F277" i="2"/>
  <c r="F232" i="2"/>
  <c r="G199" i="2"/>
  <c r="I13" i="2"/>
  <c r="AD4" i="6" s="1"/>
  <c r="D4" i="6"/>
  <c r="AB4" i="6"/>
  <c r="P21" i="2"/>
  <c r="J5" i="2" s="1"/>
  <c r="P4" i="6" s="1"/>
  <c r="Y4" i="6"/>
  <c r="Z4" i="6" s="1"/>
  <c r="F4" i="6"/>
  <c r="S82" i="2"/>
  <c r="S98" i="2"/>
  <c r="F36" i="2"/>
  <c r="G4" i="6"/>
  <c r="M5" i="2" l="1"/>
  <c r="O4" i="6"/>
  <c r="O5" i="2"/>
  <c r="P5" i="2" s="1"/>
</calcChain>
</file>

<file path=xl/comments1.xml><?xml version="1.0" encoding="utf-8"?>
<comments xmlns="http://schemas.openxmlformats.org/spreadsheetml/2006/main">
  <authors>
    <author>SMiller</author>
  </authors>
  <commentList>
    <comment ref="D177" authorId="0">
      <text>
        <r>
          <rPr>
            <b/>
            <sz val="8"/>
            <color indexed="81"/>
            <rFont val="Tahoma"/>
            <family val="2"/>
          </rPr>
          <t>SMiller:</t>
        </r>
        <r>
          <rPr>
            <sz val="8"/>
            <color indexed="81"/>
            <rFont val="Tahoma"/>
            <family val="2"/>
          </rPr>
          <t xml:space="preserve">
Actual data from spine tester instead of the published 0.500 spec.</t>
        </r>
      </text>
    </comment>
  </commentList>
</comments>
</file>

<file path=xl/comments2.xml><?xml version="1.0" encoding="utf-8"?>
<comments xmlns="http://schemas.openxmlformats.org/spreadsheetml/2006/main">
  <authors>
    <author>SMiller</author>
  </authors>
  <commentList>
    <comment ref="A4" authorId="0">
      <text>
        <r>
          <rPr>
            <b/>
            <sz val="8"/>
            <color indexed="81"/>
            <rFont val="Tahoma"/>
            <family val="2"/>
          </rPr>
          <t>Stu Says:</t>
        </r>
        <r>
          <rPr>
            <sz val="8"/>
            <color indexed="81"/>
            <rFont val="Tahoma"/>
            <family val="2"/>
          </rPr>
          <t xml:space="preserve">
</t>
        </r>
        <r>
          <rPr>
            <sz val="10"/>
            <color indexed="81"/>
            <rFont val="Tahoma"/>
            <family val="2"/>
          </rPr>
          <t>This first row is fixed and will be populated with the existing setup from the main DSC page.  To copy below, simply select these cells, click copy, then use the paste special "values" into any row below.</t>
        </r>
      </text>
    </comment>
  </commentList>
</comments>
</file>

<file path=xl/sharedStrings.xml><?xml version="1.0" encoding="utf-8"?>
<sst xmlns="http://schemas.openxmlformats.org/spreadsheetml/2006/main" count="489" uniqueCount="374">
  <si>
    <t>Point</t>
  </si>
  <si>
    <t>Type</t>
  </si>
  <si>
    <t>Material</t>
  </si>
  <si>
    <t>Length</t>
  </si>
  <si>
    <t>N/A</t>
  </si>
  <si>
    <t>#</t>
  </si>
  <si>
    <t>B50</t>
  </si>
  <si>
    <t>Crown</t>
  </si>
  <si>
    <t>Weight @ 29"</t>
  </si>
  <si>
    <t>GPI</t>
  </si>
  <si>
    <t>Deflection @ 28" w/1.94#</t>
  </si>
  <si>
    <t>Deflection @ 26" w/2.0#</t>
  </si>
  <si>
    <t>Static Spine</t>
  </si>
  <si>
    <t>Size 
(XX75 or 
XX78)</t>
  </si>
  <si>
    <t>Other</t>
  </si>
  <si>
    <t>Arrow Data</t>
  </si>
  <si>
    <t>Arrow Shaft
Size</t>
  </si>
  <si>
    <t>Point Weight (grains)</t>
  </si>
  <si>
    <t>Total Weight (grains)</t>
  </si>
  <si>
    <t>F.O.C.
(%)</t>
  </si>
  <si>
    <t>Dynamic Spine (pounds)</t>
  </si>
  <si>
    <t>String Material Type</t>
  </si>
  <si>
    <t>GT 5575 Trad.</t>
  </si>
  <si>
    <t>GT 3555 Trad.</t>
  </si>
  <si>
    <t>GT 7595 Trad.</t>
  </si>
  <si>
    <t>GT 1535 Trad.</t>
  </si>
  <si>
    <t>Arrow Details</t>
  </si>
  <si>
    <t>Nock End Weight (grains)</t>
  </si>
  <si>
    <t>Nock</t>
  </si>
  <si>
    <t>Physical Detail</t>
  </si>
  <si>
    <t>Static Spine Converter</t>
  </si>
  <si>
    <t>Deflection (inches)</t>
  </si>
  <si>
    <t>AMO Static Spine (#)</t>
  </si>
  <si>
    <t>MFX Classic 340</t>
  </si>
  <si>
    <t>MFX Classic 400</t>
  </si>
  <si>
    <t>MFX Classic 500</t>
  </si>
  <si>
    <t>Wood Shaft</t>
  </si>
  <si>
    <t>Wing</t>
  </si>
  <si>
    <t>Crest</t>
  </si>
  <si>
    <t>Total Wt.</t>
  </si>
  <si>
    <t>FOC %</t>
  </si>
  <si>
    <t>Recurve</t>
  </si>
  <si>
    <t>1512 X7</t>
  </si>
  <si>
    <t>1612 X7</t>
  </si>
  <si>
    <t>1514 X7</t>
  </si>
  <si>
    <t>1614 X7</t>
  </si>
  <si>
    <t>1712 X7</t>
  </si>
  <si>
    <t>1714 X7</t>
  </si>
  <si>
    <t>1812 X7</t>
  </si>
  <si>
    <t>1814 X7</t>
  </si>
  <si>
    <t>1912 X7</t>
  </si>
  <si>
    <t>2012 X7</t>
  </si>
  <si>
    <t>1914 X7</t>
  </si>
  <si>
    <t>2112 X7</t>
  </si>
  <si>
    <t>2014 X7</t>
  </si>
  <si>
    <t>2212 X7</t>
  </si>
  <si>
    <t>2114 X7</t>
  </si>
  <si>
    <t>2312 X7</t>
  </si>
  <si>
    <t>2214 X7</t>
  </si>
  <si>
    <t>2412 X7</t>
  </si>
  <si>
    <t>2512 X7</t>
  </si>
  <si>
    <t>Shaft Diameter</t>
  </si>
  <si>
    <t>Carbon Tech Whitetail 25/45</t>
  </si>
  <si>
    <t>Carbon Tech Whitetail 35/55</t>
  </si>
  <si>
    <t>Carbon Tech Whitetail 40/65</t>
  </si>
  <si>
    <t>Carbon Tech Whitetail 65/80</t>
  </si>
  <si>
    <t>Carbon Tech Rhino 35/60</t>
  </si>
  <si>
    <t>Carbon Tech Rhino 45/70</t>
  </si>
  <si>
    <t>Carbon Tech Rhino 55/80</t>
  </si>
  <si>
    <t>Carbon Tech Safari</t>
  </si>
  <si>
    <t>Self/Longbow</t>
  </si>
  <si>
    <t>Deflex/Reflex Longbow</t>
  </si>
  <si>
    <t>Distance from 
BOP to balance 
point (A)</t>
  </si>
  <si>
    <t>CE Heritage 150</t>
  </si>
  <si>
    <t>CE Heritage 250</t>
  </si>
  <si>
    <t>CE Heritage 350</t>
  </si>
  <si>
    <t>CE Rebel 4560</t>
  </si>
  <si>
    <t>CE Rebel 6075</t>
  </si>
  <si>
    <t>Generic Carbon 300</t>
  </si>
  <si>
    <t>Generic Carbon 340</t>
  </si>
  <si>
    <t>Generic Carbon 400</t>
  </si>
  <si>
    <t>Generic Carbon 500</t>
  </si>
  <si>
    <t>3Rivers Trad Only 600</t>
  </si>
  <si>
    <t>3Rivers Trad Only 500</t>
  </si>
  <si>
    <t>3Rivers Trad Only 400</t>
  </si>
  <si>
    <t>3Rivers Trad Only 340</t>
  </si>
  <si>
    <t>3Rivers Trad Only 300</t>
  </si>
  <si>
    <t>CE Heritage 090</t>
  </si>
  <si>
    <t xml:space="preserve">Dynamic Spine w/o 
mass &amp; diameter 
compensation </t>
  </si>
  <si>
    <t>Spine 
compensation
for diameter</t>
  </si>
  <si>
    <t>Specific Weight (GPP)</t>
  </si>
  <si>
    <t>Performance Recurve / Horsebow</t>
  </si>
  <si>
    <t>Insert Weight</t>
  </si>
  <si>
    <t>BOP Length (inches)</t>
  </si>
  <si>
    <t>Energy
(ft-lbs)</t>
  </si>
  <si>
    <t>Footing (Y/N)</t>
  </si>
  <si>
    <t xml:space="preserve"> Arrow Inputs</t>
  </si>
  <si>
    <t xml:space="preserve"> Bow Inputs</t>
  </si>
  <si>
    <t xml:space="preserve">    AMO/AMA  (2# @ 26")  =    </t>
  </si>
  <si>
    <t xml:space="preserve">    ASTM  (1.94# @ 28")    = </t>
  </si>
  <si>
    <t>Yes</t>
  </si>
  <si>
    <t>No</t>
  </si>
  <si>
    <t>Speed (FPS)</t>
  </si>
  <si>
    <t xml:space="preserve"> Arrow Outputs</t>
  </si>
  <si>
    <t>Rated Weight
(pounds)</t>
  </si>
  <si>
    <t>Rated Draw
(inches)</t>
  </si>
  <si>
    <t>B.H. Vapor 2000</t>
  </si>
  <si>
    <t>B.H. Vapor 3000</t>
  </si>
  <si>
    <t>Fletching</t>
  </si>
  <si>
    <t>Weight in Grams</t>
  </si>
  <si>
    <t>CE T.Hunter 4560</t>
  </si>
  <si>
    <t>CE T.Hunter 6075</t>
  </si>
  <si>
    <t>Easton Redline 410</t>
  </si>
  <si>
    <t>Easton Redline 460</t>
  </si>
  <si>
    <t>Easton Redline 520</t>
  </si>
  <si>
    <t>Easton Redline 600</t>
  </si>
  <si>
    <t>Easton Redline 690</t>
  </si>
  <si>
    <t>Easton Redline 780</t>
  </si>
  <si>
    <t>Easton Redline 900</t>
  </si>
  <si>
    <t>PSE X-Weave Pro 100</t>
  </si>
  <si>
    <t>FastFlight 14 strand</t>
  </si>
  <si>
    <t>FastFlight 12 strand</t>
  </si>
  <si>
    <t>FastFlight 10 strand</t>
  </si>
  <si>
    <t>FastFlight 16 strand</t>
  </si>
  <si>
    <t>CE Heritage 075</t>
  </si>
  <si>
    <t>MFX Classic 600</t>
  </si>
  <si>
    <t>FastFlight 06 strand</t>
  </si>
  <si>
    <t>FastFlight 08 strand</t>
  </si>
  <si>
    <t>Easton Powerflight 300</t>
  </si>
  <si>
    <t>Easton Powerflight 340</t>
  </si>
  <si>
    <t>Easton Powerflight 400</t>
  </si>
  <si>
    <t>Easton Powerflight 500</t>
  </si>
  <si>
    <t>Easton LightSpeed 340</t>
  </si>
  <si>
    <t>Easton LightSpeed 400</t>
  </si>
  <si>
    <t>Easton LightSpeed 500</t>
  </si>
  <si>
    <t>Personal Form Factor</t>
  </si>
  <si>
    <t>Easton Carbon One 600</t>
  </si>
  <si>
    <t>Easton Carbon One 1150</t>
  </si>
  <si>
    <t xml:space="preserve">Bow Type
</t>
  </si>
  <si>
    <t>Easton Carbon One 660</t>
  </si>
  <si>
    <t>Easton Carbon One 730</t>
  </si>
  <si>
    <t>Easton Carbon One 810</t>
  </si>
  <si>
    <t>Easton Carbon One 900</t>
  </si>
  <si>
    <t>Easton Carbon One 1000</t>
  </si>
  <si>
    <t>ICS Bowhunter 300</t>
  </si>
  <si>
    <t>ICS Bowhunter 400</t>
  </si>
  <si>
    <t>ICS Bowhunter 340</t>
  </si>
  <si>
    <t>ICS Bowhunter 500</t>
  </si>
  <si>
    <t>GT Hunter 7595 Camo</t>
  </si>
  <si>
    <t>GT Hunter 5575 Camo</t>
  </si>
  <si>
    <t>GT Hunter 5575 Black</t>
  </si>
  <si>
    <t>GT Hunter 3555 Camo</t>
  </si>
  <si>
    <t>GT Hunter 3555 Black</t>
  </si>
  <si>
    <t>Bare Shaft</t>
  </si>
  <si>
    <t>If "Other" then enter total here</t>
  </si>
  <si>
    <t>CE Predator II 2040</t>
  </si>
  <si>
    <t>CE Predator II 800</t>
  </si>
  <si>
    <t>CE Predator II 700</t>
  </si>
  <si>
    <t>CE Predator II 3050</t>
  </si>
  <si>
    <t>CE Predator II 4560</t>
  </si>
  <si>
    <t>CE Predator II 6075</t>
  </si>
  <si>
    <t>2 x 4" Feathers</t>
  </si>
  <si>
    <t>3 x 3" Feathers</t>
  </si>
  <si>
    <t>3 x 4" Feathers</t>
  </si>
  <si>
    <t>3 x 5" Feathers</t>
  </si>
  <si>
    <t>4 x 4" Feathers</t>
  </si>
  <si>
    <t>4 x 5" Feathers</t>
  </si>
  <si>
    <t>2 x 5" Feathers</t>
  </si>
  <si>
    <t>2 x 3" Feathers</t>
  </si>
  <si>
    <t>4 x 3" Feathers</t>
  </si>
  <si>
    <t>Generic Vanes</t>
  </si>
  <si>
    <t>Easton Axis FMJ 300</t>
  </si>
  <si>
    <t>Easton Axis FMJ 340</t>
  </si>
  <si>
    <t>Easton Axis FMJ 400</t>
  </si>
  <si>
    <t>Easton Axis FMJ 500</t>
  </si>
  <si>
    <t>Easton Axis FMJ D. Game 250</t>
  </si>
  <si>
    <t>Easton Axis FMJ D. Game 300</t>
  </si>
  <si>
    <t>Easton A/C/C    3-04</t>
  </si>
  <si>
    <t>Easton A/C/C    3-18</t>
  </si>
  <si>
    <t>Easton A/C/C    3-28</t>
  </si>
  <si>
    <t>Easton A/C/C    3-39</t>
  </si>
  <si>
    <t>Easton A/C/C    3-49</t>
  </si>
  <si>
    <t>Easton A/C/C    3-60</t>
  </si>
  <si>
    <t>Easton A/C/C    3-71</t>
  </si>
  <si>
    <t>Easton A/C/C    3L-04</t>
  </si>
  <si>
    <t>Easton A/C/C    3L-18</t>
  </si>
  <si>
    <t>PSE X-Weave Pro 200</t>
  </si>
  <si>
    <t>PSE X-Weave Pro 300</t>
  </si>
  <si>
    <t>PSE X-Weave Pro 400</t>
  </si>
  <si>
    <t>Bullseye Premium 100</t>
  </si>
  <si>
    <t>Bullseye Premium 200</t>
  </si>
  <si>
    <t>Bullseye Premium 300</t>
  </si>
  <si>
    <t>Bullseye Premium 400</t>
  </si>
  <si>
    <t>Riser Cut</t>
  </si>
  <si>
    <t>Samick Red Stag</t>
  </si>
  <si>
    <t>Great Northern Bushbow</t>
  </si>
  <si>
    <t>Abbott D/R Longbow</t>
  </si>
  <si>
    <t>Black Widow PSA</t>
  </si>
  <si>
    <t>Black Widow PMA</t>
  </si>
  <si>
    <t>Martin Hatfield</t>
  </si>
  <si>
    <t>Martin Serengeti</t>
  </si>
  <si>
    <t>Martin Dream Catcher</t>
  </si>
  <si>
    <t>Habu Death Ader</t>
  </si>
  <si>
    <t>Habu Vyperkahn</t>
  </si>
  <si>
    <t>Bob Lee Stick</t>
  </si>
  <si>
    <t>Predator Hunter</t>
  </si>
  <si>
    <t>Checkmate Hunter</t>
  </si>
  <si>
    <t>Black Widow PL</t>
  </si>
  <si>
    <t>*Generic Deflex/Reflex Longbow</t>
  </si>
  <si>
    <t>*Generic Recurve</t>
  </si>
  <si>
    <t>*Generic Self/Longbow</t>
  </si>
  <si>
    <t xml:space="preserve"> (inches)</t>
  </si>
  <si>
    <t>*Generic Perf. Recurve / Horsebow</t>
  </si>
  <si>
    <t>Strike plate position</t>
  </si>
  <si>
    <t>Bow</t>
  </si>
  <si>
    <t>Efficiency</t>
  </si>
  <si>
    <t>Stike Pos.</t>
  </si>
  <si>
    <t>Selected?</t>
  </si>
  <si>
    <t>Custom Bow</t>
  </si>
  <si>
    <t xml:space="preserve">Allen Boice Liberty English </t>
  </si>
  <si>
    <t>Samick Black Onyx</t>
  </si>
  <si>
    <t>Bear A or B Mag. Riser</t>
  </si>
  <si>
    <t>Bear Minuteman</t>
  </si>
  <si>
    <t>Pearson Predator</t>
  </si>
  <si>
    <t>Pearson Hunter</t>
  </si>
  <si>
    <t>Browning 50 Cobra I</t>
  </si>
  <si>
    <t>Bob Lee Takedown Recurve</t>
  </si>
  <si>
    <t>Bob Lee 1-piece Recurve</t>
  </si>
  <si>
    <t>Bob Lee Takedown Longbow</t>
  </si>
  <si>
    <t>Centaur Carbon Elite</t>
  </si>
  <si>
    <t>Brackenbury Takedown Recurve</t>
  </si>
  <si>
    <t>Brackenbury Takedown Longbow</t>
  </si>
  <si>
    <t>Great Northern Ghost</t>
  </si>
  <si>
    <t>Great Northern Super Ghost</t>
  </si>
  <si>
    <t>Great Northern Fireball</t>
  </si>
  <si>
    <t>Great Northern Trad Longbow</t>
  </si>
  <si>
    <t>Great Northern Critter Gitter</t>
  </si>
  <si>
    <t>Great Northern Critter Gitter Special</t>
  </si>
  <si>
    <t>Bear AuSable longbow</t>
  </si>
  <si>
    <t>Bear Cheyenne Recurve</t>
  </si>
  <si>
    <t xml:space="preserve">Bear Super Kodiak </t>
  </si>
  <si>
    <t>Bear Grizzly (Current Prod.)</t>
  </si>
  <si>
    <t>Bear Grizzly (Old Model)</t>
  </si>
  <si>
    <t>Bear Kodiak Mag</t>
  </si>
  <si>
    <t>Ancient Spirits Cahokia</t>
  </si>
  <si>
    <t>Dan Quillian Longhunter</t>
  </si>
  <si>
    <t>Thunderstick Ram Horn</t>
  </si>
  <si>
    <t>Great Tree Volcano</t>
  </si>
  <si>
    <t>Bear Kodiak Hunter</t>
  </si>
  <si>
    <t>Bear Montana</t>
  </si>
  <si>
    <t>Kohannah Kurve</t>
  </si>
  <si>
    <t>3Rivers Tomahawk</t>
  </si>
  <si>
    <t>Great Plains SR Swift Black Hawk</t>
  </si>
  <si>
    <t>Horne's Brush Bow</t>
  </si>
  <si>
    <t>Dryad Bush Wacker</t>
  </si>
  <si>
    <t>Predator Classic Recurve</t>
  </si>
  <si>
    <t xml:space="preserve">Morrison Mini-14 ILF Riser Longbow </t>
  </si>
  <si>
    <t xml:space="preserve">Morrison Mini-14 ILF Riser Recurve </t>
  </si>
  <si>
    <t>3Rivers Dalaa T/D Recurve</t>
  </si>
  <si>
    <t>Martin Jaguar</t>
  </si>
  <si>
    <t>Shakespeare Purist X-4</t>
  </si>
  <si>
    <t>Martin Bamboo Viper</t>
  </si>
  <si>
    <t>Carpathian (CTA) Red Stag</t>
  </si>
  <si>
    <t>Bateman R/D Longbow</t>
  </si>
  <si>
    <t>TradTech Galaxy ILF Recurve</t>
  </si>
  <si>
    <t>Browning Wasp</t>
  </si>
  <si>
    <t>Wapiti Recurves (all models)</t>
  </si>
  <si>
    <t>TradTech Recon ILF Recurve</t>
  </si>
  <si>
    <t>Holm-Made River Runner</t>
  </si>
  <si>
    <t>Leon Stewart Slammer</t>
  </si>
  <si>
    <t xml:space="preserve">Holm-Made Osprey </t>
  </si>
  <si>
    <t>Leon Stewart r/d Longbow</t>
  </si>
  <si>
    <t>Leon Stewart Recurve</t>
  </si>
  <si>
    <t>Samick Sage</t>
  </si>
  <si>
    <t xml:space="preserve">A&amp;H ACS CX TD Longbow  </t>
  </si>
  <si>
    <t>Quinn stallion</t>
  </si>
  <si>
    <t xml:space="preserve">Bill Stewart MultiCam Super Hunter </t>
  </si>
  <si>
    <t xml:space="preserve">Bill Stewart MultiCam Trad Hunter </t>
  </si>
  <si>
    <t>Lost Creek Life-Ender</t>
  </si>
  <si>
    <t>Lost Creek Judge</t>
  </si>
  <si>
    <t>Lost Creek N.A.T</t>
  </si>
  <si>
    <t>Ragim Black Bear</t>
  </si>
  <si>
    <t>Acadian Woods Carbon Reflex Recurve</t>
  </si>
  <si>
    <t>Acadian Woods Cajun Hunter</t>
  </si>
  <si>
    <t>Acadian Woods Tree Stick</t>
  </si>
  <si>
    <t>Greatree Dearslayer</t>
  </si>
  <si>
    <t>Ragim Impala</t>
  </si>
  <si>
    <t>Samick Legend</t>
  </si>
  <si>
    <t>J.K. Traditions Kanati</t>
  </si>
  <si>
    <t xml:space="preserve">Kota Prairie Fire </t>
  </si>
  <si>
    <t>Insert</t>
  </si>
  <si>
    <t>Footing</t>
  </si>
  <si>
    <r>
      <rPr>
        <u/>
        <sz val="10"/>
        <rFont val="Arial"/>
        <family val="2"/>
      </rPr>
      <t xml:space="preserve">Your
</t>
    </r>
    <r>
      <rPr>
        <sz val="10"/>
        <rFont val="Arial"/>
        <family val="2"/>
      </rPr>
      <t>Draw (inches)</t>
    </r>
  </si>
  <si>
    <t>Assenheimer Master Hunter</t>
  </si>
  <si>
    <t>- Length (in.)</t>
  </si>
  <si>
    <t>- Weight (gr.)</t>
  </si>
  <si>
    <r>
      <t xml:space="preserve">← </t>
    </r>
    <r>
      <rPr>
        <sz val="9"/>
        <rFont val="Arial"/>
        <family val="2"/>
      </rPr>
      <t xml:space="preserve">AMO </t>
    </r>
    <r>
      <rPr>
        <u/>
        <sz val="9"/>
        <rFont val="Arial"/>
        <family val="2"/>
      </rPr>
      <t>Static</t>
    </r>
    <r>
      <rPr>
        <sz val="9"/>
        <rFont val="Arial"/>
        <family val="2"/>
      </rPr>
      <t xml:space="preserve"> Spine ( 2# @ 26" )</t>
    </r>
  </si>
  <si>
    <r>
      <rPr>
        <sz val="12"/>
        <rFont val="Arial"/>
        <family val="2"/>
      </rPr>
      <t>←</t>
    </r>
    <r>
      <rPr>
        <sz val="9"/>
        <rFont val="Arial"/>
        <family val="2"/>
      </rPr>
      <t xml:space="preserve"> Shaft Grains per Inch (GPI)</t>
    </r>
  </si>
  <si>
    <r>
      <rPr>
        <u/>
        <sz val="10"/>
        <rFont val="Arial"/>
        <family val="2"/>
      </rPr>
      <t xml:space="preserve">Center Cut
</t>
    </r>
    <r>
      <rPr>
        <sz val="10"/>
        <rFont val="Arial"/>
        <family val="2"/>
      </rPr>
      <t>Strike Plate Position
(inches)</t>
    </r>
  </si>
  <si>
    <t>Arrow Dynamic Spine Req. (pounds)</t>
  </si>
  <si>
    <t>Fletching Type or Weight (grains)</t>
  </si>
  <si>
    <r>
      <t xml:space="preserve">For specific bow models, enter strike plate thickness  </t>
    </r>
    <r>
      <rPr>
        <sz val="14"/>
        <rFont val="Arial"/>
        <family val="2"/>
      </rPr>
      <t xml:space="preserve">→ </t>
    </r>
    <r>
      <rPr>
        <sz val="9"/>
        <rFont val="Arial"/>
        <family val="2"/>
      </rPr>
      <t xml:space="preserve">         </t>
    </r>
    <r>
      <rPr>
        <b/>
        <sz val="9"/>
        <rFont val="Arial"/>
        <family val="2"/>
      </rPr>
      <t xml:space="preserve">
 </t>
    </r>
    <r>
      <rPr>
        <sz val="8"/>
        <rFont val="Arial"/>
        <family val="2"/>
      </rPr>
      <t xml:space="preserve">(X.XX or fractional equivalent)         </t>
    </r>
    <r>
      <rPr>
        <sz val="8"/>
        <color indexed="22"/>
        <rFont val="Arial"/>
        <family val="2"/>
      </rPr>
      <t>.</t>
    </r>
  </si>
  <si>
    <r>
      <rPr>
        <sz val="12"/>
        <rFont val="Arial"/>
        <family val="2"/>
      </rPr>
      <t>←</t>
    </r>
    <r>
      <rPr>
        <sz val="9"/>
        <rFont val="Arial"/>
        <family val="2"/>
      </rPr>
      <t xml:space="preserve"> Shaft Diameter (inches)
     </t>
    </r>
    <r>
      <rPr>
        <sz val="8"/>
        <rFont val="Arial"/>
        <family val="2"/>
      </rPr>
      <t xml:space="preserve"> </t>
    </r>
    <r>
      <rPr>
        <sz val="9"/>
        <rFont val="Arial"/>
        <family val="2"/>
      </rPr>
      <t>(X.XX or fractional equivalent)</t>
    </r>
  </si>
  <si>
    <t>Dryad Orion Longbow</t>
  </si>
  <si>
    <t>TimberHawk Falcon</t>
  </si>
  <si>
    <t>Bear TakeDown A or B Riser</t>
  </si>
  <si>
    <t>Bow Details</t>
  </si>
  <si>
    <t>AMO
Deflection</t>
  </si>
  <si>
    <t>AMO Static Spine</t>
  </si>
  <si>
    <t>Dynamic Spine</t>
  </si>
  <si>
    <t>Weight @ Rated Draw</t>
  </si>
  <si>
    <t>String Material
&amp; Strand Count</t>
  </si>
  <si>
    <t>Brace Height</t>
  </si>
  <si>
    <t>Dynamic Spine Req.</t>
  </si>
  <si>
    <t>Date</t>
  </si>
  <si>
    <t>Make / Type</t>
  </si>
  <si>
    <t>Dia.</t>
  </si>
  <si>
    <t>Select HERE 
to read note.</t>
  </si>
  <si>
    <t>Bow 
Center Cut</t>
  </si>
  <si>
    <r>
      <t>Strike Position</t>
    </r>
    <r>
      <rPr>
        <sz val="4"/>
        <rFont val="Arial"/>
        <family val="2"/>
      </rPr>
      <t xml:space="preserve">
</t>
    </r>
    <r>
      <rPr>
        <sz val="8"/>
        <rFont val="Arial"/>
        <family val="2"/>
      </rPr>
      <t>Faction  - OR -  Decimal</t>
    </r>
  </si>
  <si>
    <t>Strike Plate  Thickness</t>
  </si>
  <si>
    <t>Caribow Peregrine</t>
  </si>
  <si>
    <t>X</t>
  </si>
  <si>
    <t>Easton A/C/C Hunting 300</t>
  </si>
  <si>
    <t>Easton A/C/C Hunting 340</t>
  </si>
  <si>
    <t>Easton A/C/C Hunting 90</t>
  </si>
  <si>
    <t>Easton A/C/C Hunting 440</t>
  </si>
  <si>
    <t>HP-3</t>
  </si>
  <si>
    <t>HP-2</t>
  </si>
  <si>
    <t>Uni w/X</t>
  </si>
  <si>
    <t>HIT</t>
  </si>
  <si>
    <t>Easton Axis 300 Black</t>
  </si>
  <si>
    <t>Easton Axis 340 Black</t>
  </si>
  <si>
    <t>Easton Axis 400 Black</t>
  </si>
  <si>
    <t>Easton Axis 500 Black</t>
  </si>
  <si>
    <t>Easton Axis 600 Black</t>
  </si>
  <si>
    <t>Easton Axis 300 Camo</t>
  </si>
  <si>
    <t>Easton Axis 340 Camo</t>
  </si>
  <si>
    <t>Easton Axis 400 Camo</t>
  </si>
  <si>
    <t>Easton Axis 500 Camo</t>
  </si>
  <si>
    <t>Easton ST Epic 300 Black</t>
  </si>
  <si>
    <t>Easton ST Epic 340 Black</t>
  </si>
  <si>
    <t>Easton ST Epic 400 Black</t>
  </si>
  <si>
    <t>Easton ST Epic 500 Black</t>
  </si>
  <si>
    <t>Easton ST Epic 600 Black</t>
  </si>
  <si>
    <t>Easton ST Epic 300 Camo</t>
  </si>
  <si>
    <t>Easton ST Epic 340 Camo</t>
  </si>
  <si>
    <t>Easton ST Epic 500 Camo</t>
  </si>
  <si>
    <t>HP-4</t>
  </si>
  <si>
    <t>H</t>
  </si>
  <si>
    <t>CB</t>
  </si>
  <si>
    <t>Super</t>
  </si>
  <si>
    <t>RPS</t>
  </si>
  <si>
    <t>Easton ST Excel 300</t>
  </si>
  <si>
    <t>Easton ST Excel 340</t>
  </si>
  <si>
    <t>Easton ST Excel 400</t>
  </si>
  <si>
    <t>Easton ST Excel 500</t>
  </si>
  <si>
    <t>G</t>
  </si>
  <si>
    <t>Big Jim's Buffalo Bow</t>
  </si>
  <si>
    <t>Big Jim's Thunder Child</t>
  </si>
  <si>
    <t>Easton ST Epic 400 Camo</t>
  </si>
  <si>
    <t>Easton Axis Jr (Estimated Spine)</t>
  </si>
  <si>
    <t>Easton ST Epic Jr (Estimated Spine)</t>
  </si>
  <si>
    <t>Border Black Douglas</t>
  </si>
  <si>
    <t>Schafer Silvertip Recurve</t>
  </si>
  <si>
    <t>Schafer Silvertip Longbow</t>
  </si>
  <si>
    <t>Black Widow PSR</t>
  </si>
  <si>
    <t>Black Widow PCH</t>
  </si>
  <si>
    <t>Ben Pearson Palomino</t>
  </si>
  <si>
    <t>Martin Hunter</t>
  </si>
  <si>
    <t>Martin Savanna</t>
  </si>
  <si>
    <t>Shaft GPI</t>
  </si>
  <si>
    <t>Color (hen / cock)</t>
  </si>
  <si>
    <r>
      <t>GT Hun</t>
    </r>
    <r>
      <rPr>
        <sz val="10"/>
        <color indexed="9"/>
        <rFont val="Arial"/>
      </rPr>
      <t>ter 7595 Black</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</si>
</sst>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
    <numFmt numFmtId="165" formatCode="0.0"/>
    <numFmt numFmtId="166" formatCode="m/d/yy;@"/>
  </numFmts>
  <fonts count="32" x14ac:knownFonts="1">
    <font>
      <sz val="10"/>
      <name val="Arial"/>
    </font>
    <font>
      <sz val="8"/>
      <name val="Arial"/>
      <family val="2"/>
    </font>
    <font>
      <sz val="8"/>
      <color indexed="81"/>
      <name val="Tahoma"/>
      <family val="2"/>
    </font>
    <font>
      <b/>
      <sz val="8"/>
      <color indexed="81"/>
      <name val="Tahoma"/>
      <family val="2"/>
    </font>
    <font>
      <sz val="14"/>
      <name val="Arial"/>
      <family val="2"/>
    </font>
    <font>
      <sz val="10"/>
      <name val="Arial"/>
      <family val="2"/>
    </font>
    <font>
      <sz val="12"/>
      <name val="Algerian"/>
      <family val="5"/>
    </font>
    <font>
      <u/>
      <sz val="10"/>
      <name val="Arial"/>
      <family val="2"/>
    </font>
    <font>
      <b/>
      <sz val="10"/>
      <name val="Arial"/>
      <family val="2"/>
    </font>
    <font>
      <b/>
      <sz val="26"/>
      <name val="Arial"/>
      <family val="2"/>
    </font>
    <font>
      <sz val="11"/>
      <name val="Arial"/>
      <family val="2"/>
    </font>
    <font>
      <b/>
      <i/>
      <sz val="28"/>
      <name val="Cambria"/>
      <family val="1"/>
    </font>
    <font>
      <u/>
      <sz val="11"/>
      <name val="Arial"/>
      <family val="2"/>
    </font>
    <font>
      <sz val="9"/>
      <name val="Arial"/>
      <family val="2"/>
    </font>
    <font>
      <u/>
      <sz val="9"/>
      <name val="Arial"/>
      <family val="2"/>
    </font>
    <font>
      <sz val="12"/>
      <name val="Arial"/>
      <family val="2"/>
    </font>
    <font>
      <b/>
      <sz val="9"/>
      <name val="Arial"/>
      <family val="2"/>
    </font>
    <font>
      <sz val="8"/>
      <color indexed="22"/>
      <name val="Arial"/>
      <family val="2"/>
    </font>
    <font>
      <sz val="7"/>
      <name val="Arial"/>
      <family val="2"/>
    </font>
    <font>
      <sz val="10"/>
      <color indexed="81"/>
      <name val="Tahoma"/>
      <family val="2"/>
    </font>
    <font>
      <sz val="4"/>
      <name val="Arial"/>
      <family val="2"/>
    </font>
    <font>
      <sz val="10"/>
      <color indexed="9"/>
      <name val="Arial"/>
    </font>
    <font>
      <b/>
      <sz val="14"/>
      <color theme="0"/>
      <name val="Arial"/>
      <family val="2"/>
    </font>
    <font>
      <b/>
      <i/>
      <sz val="28"/>
      <name val="Cambria"/>
      <family val="1"/>
      <scheme val="major"/>
    </font>
    <font>
      <b/>
      <i/>
      <sz val="16"/>
      <name val="Cambria"/>
      <family val="1"/>
      <scheme val="major"/>
    </font>
    <font>
      <sz val="11"/>
      <color theme="4" tint="0.79998168889431442"/>
      <name val="Arial"/>
      <family val="2"/>
    </font>
    <font>
      <sz val="10"/>
      <color theme="0"/>
      <name val="Arial"/>
      <family val="2"/>
    </font>
    <font>
      <sz val="10"/>
      <color theme="0"/>
      <name val="Arial"/>
    </font>
    <font>
      <sz val="10"/>
      <color theme="0"/>
      <name val="Verdana"/>
      <family val="2"/>
    </font>
    <font>
      <i/>
      <sz val="14"/>
      <color theme="0"/>
      <name val="Cambria"/>
      <family val="1"/>
      <scheme val="major"/>
    </font>
    <font>
      <sz val="12"/>
      <color theme="0"/>
      <name val="Algerian"/>
      <family val="5"/>
    </font>
    <font>
      <b/>
      <sz val="12"/>
      <color theme="0"/>
      <name val="Arial"/>
      <family val="2"/>
    </font>
  </fonts>
  <fills count="16">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theme="1"/>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rgb="FFD6F6D6"/>
        <bgColor indexed="64"/>
      </patternFill>
    </fill>
    <fill>
      <patternFill patternType="solid">
        <fgColor rgb="FFC5E5FF"/>
        <bgColor indexed="64"/>
      </patternFill>
    </fill>
    <fill>
      <patternFill patternType="solid">
        <fgColor theme="0" tint="-0.499984740745262"/>
        <bgColor indexed="64"/>
      </patternFill>
    </fill>
    <fill>
      <patternFill patternType="solid">
        <fgColor rgb="FFFFFFCC"/>
        <bgColor indexed="64"/>
      </patternFill>
    </fill>
    <fill>
      <patternFill patternType="solid">
        <fgColor rgb="FF8BCBFF"/>
        <bgColor indexed="64"/>
      </patternFill>
    </fill>
    <fill>
      <patternFill patternType="solid">
        <fgColor rgb="FFFFFF99"/>
        <bgColor indexed="64"/>
      </patternFill>
    </fill>
  </fills>
  <borders count="70">
    <border>
      <left/>
      <right/>
      <top/>
      <bottom/>
      <diagonal/>
    </border>
    <border>
      <left style="medium">
        <color indexed="64"/>
      </left>
      <right/>
      <top style="mediumDashed">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Dashed">
        <color indexed="64"/>
      </bottom>
      <diagonal/>
    </border>
    <border>
      <left style="thin">
        <color indexed="64"/>
      </left>
      <right style="medium">
        <color indexed="64"/>
      </right>
      <top style="medium">
        <color indexed="64"/>
      </top>
      <bottom/>
      <diagonal/>
    </border>
    <border>
      <left style="mediumDashed">
        <color indexed="64"/>
      </left>
      <right style="mediumDashed">
        <color indexed="64"/>
      </right>
      <top/>
      <bottom style="thin">
        <color indexed="64"/>
      </bottom>
      <diagonal/>
    </border>
    <border>
      <left style="mediumDashed">
        <color indexed="64"/>
      </left>
      <right style="mediumDashed">
        <color indexed="64"/>
      </right>
      <top style="thin">
        <color indexed="64"/>
      </top>
      <bottom style="mediumDashed">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style="medium">
        <color indexed="64"/>
      </top>
      <bottom/>
      <diagonal/>
    </border>
    <border>
      <left style="mediumDashed">
        <color indexed="64"/>
      </left>
      <right style="mediumDashed">
        <color indexed="64"/>
      </right>
      <top style="mediumDashed">
        <color indexed="64"/>
      </top>
      <bottom style="mediumDashed">
        <color indexed="64"/>
      </bottom>
      <diagonal/>
    </border>
    <border>
      <left style="mediumDashed">
        <color indexed="64"/>
      </left>
      <right style="mediumDashed">
        <color indexed="64"/>
      </right>
      <top style="mediumDashed">
        <color indexed="64"/>
      </top>
      <bottom style="thin">
        <color indexed="64"/>
      </bottom>
      <diagonal/>
    </border>
    <border>
      <left style="mediumDashed">
        <color indexed="64"/>
      </left>
      <right style="mediumDashed">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Dashed">
        <color indexed="64"/>
      </left>
      <right/>
      <top/>
      <bottom/>
      <diagonal/>
    </border>
    <border>
      <left/>
      <right/>
      <top style="medium">
        <color indexed="64"/>
      </top>
      <bottom style="medium">
        <color indexed="64"/>
      </bottom>
      <diagonal/>
    </border>
    <border>
      <left/>
      <right style="medium">
        <color indexed="64"/>
      </right>
      <top/>
      <bottom/>
      <diagonal/>
    </border>
    <border>
      <left/>
      <right/>
      <top/>
      <bottom style="medium">
        <color indexed="64"/>
      </bottom>
      <diagonal/>
    </border>
    <border>
      <left/>
      <right/>
      <top style="mediumDashed">
        <color indexed="64"/>
      </top>
      <bottom/>
      <diagonal/>
    </border>
    <border>
      <left style="medium">
        <color indexed="64"/>
      </left>
      <right style="medium">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rgb="FFC00000"/>
      </left>
      <right style="thick">
        <color rgb="FFC00000"/>
      </right>
      <top style="thick">
        <color rgb="FFC00000"/>
      </top>
      <bottom style="thick">
        <color rgb="FFC00000"/>
      </bottom>
      <diagonal/>
    </border>
    <border>
      <left/>
      <right style="medium">
        <color indexed="64"/>
      </right>
      <top/>
      <bottom style="thick">
        <color rgb="FFC00000"/>
      </bottom>
      <diagonal/>
    </border>
  </borders>
  <cellStyleXfs count="2">
    <xf numFmtId="0" fontId="0" fillId="0" borderId="0"/>
    <xf numFmtId="0" fontId="5" fillId="0" borderId="0"/>
  </cellStyleXfs>
  <cellXfs count="327">
    <xf numFmtId="0" fontId="0" fillId="0" borderId="0" xfId="0"/>
    <xf numFmtId="0" fontId="0" fillId="0" borderId="0" xfId="0" applyAlignment="1">
      <alignment horizontal="center"/>
    </xf>
    <xf numFmtId="0" fontId="0" fillId="0" borderId="0" xfId="0" applyAlignment="1" applyProtection="1">
      <alignment horizontal="center"/>
    </xf>
    <xf numFmtId="0" fontId="0" fillId="0" borderId="0" xfId="0" applyProtection="1"/>
    <xf numFmtId="0" fontId="5" fillId="0" borderId="0" xfId="0" applyFont="1" applyBorder="1" applyAlignment="1" applyProtection="1">
      <alignment horizontal="right" wrapText="1"/>
    </xf>
    <xf numFmtId="165" fontId="0" fillId="4" borderId="0" xfId="0" applyNumberFormat="1" applyFill="1" applyBorder="1" applyAlignment="1" applyProtection="1">
      <alignment horizontal="center"/>
    </xf>
    <xf numFmtId="164" fontId="0" fillId="4" borderId="0" xfId="0" applyNumberFormat="1" applyFill="1" applyBorder="1" applyAlignment="1" applyProtection="1">
      <alignment horizontal="center"/>
    </xf>
    <xf numFmtId="165" fontId="22" fillId="5" borderId="68" xfId="0" applyNumberFormat="1" applyFont="1" applyFill="1" applyBorder="1" applyAlignment="1">
      <alignment horizontal="center" vertical="center"/>
    </xf>
    <xf numFmtId="0" fontId="23" fillId="0" borderId="0" xfId="0" applyFont="1" applyAlignment="1">
      <alignment vertical="top" wrapText="1"/>
    </xf>
    <xf numFmtId="165" fontId="0" fillId="0" borderId="0" xfId="0" applyNumberFormat="1" applyFill="1" applyBorder="1" applyAlignment="1" applyProtection="1">
      <alignment horizontal="center"/>
    </xf>
    <xf numFmtId="165" fontId="10" fillId="0" borderId="0" xfId="0" applyNumberFormat="1" applyFont="1" applyFill="1" applyBorder="1" applyAlignment="1" applyProtection="1">
      <alignment horizontal="center" vertical="center" wrapText="1"/>
    </xf>
    <xf numFmtId="165" fontId="10" fillId="0" borderId="0" xfId="0" applyNumberFormat="1" applyFont="1" applyFill="1" applyBorder="1" applyAlignment="1" applyProtection="1">
      <alignment horizontal="center" vertical="center"/>
    </xf>
    <xf numFmtId="0" fontId="0" fillId="0" borderId="0" xfId="0" applyBorder="1" applyAlignment="1" applyProtection="1"/>
    <xf numFmtId="164" fontId="0" fillId="0" borderId="0" xfId="0" applyNumberFormat="1" applyFill="1" applyBorder="1" applyAlignment="1" applyProtection="1">
      <alignment horizontal="center"/>
    </xf>
    <xf numFmtId="0" fontId="5" fillId="0" borderId="0" xfId="0" applyFont="1" applyProtection="1"/>
    <xf numFmtId="164" fontId="10" fillId="0" borderId="0" xfId="0" applyNumberFormat="1" applyFont="1" applyFill="1" applyBorder="1" applyAlignment="1" applyProtection="1">
      <alignment horizontal="center" vertical="center" wrapText="1"/>
    </xf>
    <xf numFmtId="0" fontId="0" fillId="6" borderId="0" xfId="0" applyFill="1"/>
    <xf numFmtId="0" fontId="0" fillId="6" borderId="0" xfId="0" applyFill="1" applyAlignment="1">
      <alignment horizontal="center"/>
    </xf>
    <xf numFmtId="0" fontId="23" fillId="6" borderId="0" xfId="0" applyFont="1" applyFill="1" applyAlignment="1">
      <alignment vertical="top" wrapText="1"/>
    </xf>
    <xf numFmtId="0" fontId="11" fillId="6" borderId="0" xfId="0" applyFont="1" applyFill="1" applyAlignment="1">
      <alignment vertical="top" wrapText="1"/>
    </xf>
    <xf numFmtId="0" fontId="5" fillId="6" borderId="0" xfId="0" applyFont="1" applyFill="1" applyAlignment="1">
      <alignment horizontal="right"/>
    </xf>
    <xf numFmtId="0" fontId="5" fillId="6" borderId="0" xfId="0" applyFont="1" applyFill="1" applyAlignment="1">
      <alignment horizontal="right" vertical="center"/>
    </xf>
    <xf numFmtId="0" fontId="0" fillId="6" borderId="0" xfId="0" applyFill="1" applyProtection="1"/>
    <xf numFmtId="165" fontId="0" fillId="6" borderId="0" xfId="0" applyNumberFormat="1" applyFill="1" applyBorder="1" applyAlignment="1" applyProtection="1">
      <alignment horizontal="center"/>
    </xf>
    <xf numFmtId="165" fontId="10" fillId="6" borderId="0" xfId="0" applyNumberFormat="1" applyFont="1" applyFill="1" applyBorder="1" applyAlignment="1" applyProtection="1">
      <alignment horizontal="center" vertical="center" wrapText="1"/>
    </xf>
    <xf numFmtId="0" fontId="0" fillId="6" borderId="0" xfId="0" applyFill="1" applyBorder="1" applyProtection="1"/>
    <xf numFmtId="0" fontId="0" fillId="6" borderId="0" xfId="0" applyFill="1" applyBorder="1"/>
    <xf numFmtId="0" fontId="0" fillId="6" borderId="1" xfId="0" applyFill="1" applyBorder="1" applyAlignment="1">
      <alignment horizontal="center"/>
    </xf>
    <xf numFmtId="0" fontId="13" fillId="6" borderId="0" xfId="0" applyFont="1" applyFill="1" applyAlignment="1" applyProtection="1">
      <alignment horizontal="left" vertical="center"/>
    </xf>
    <xf numFmtId="0" fontId="13" fillId="6" borderId="0" xfId="0" applyFont="1" applyFill="1" applyAlignment="1" applyProtection="1">
      <alignment horizontal="center" vertical="center"/>
    </xf>
    <xf numFmtId="0" fontId="0" fillId="6" borderId="0" xfId="0" applyFill="1" applyAlignment="1" applyProtection="1">
      <alignment horizontal="left"/>
    </xf>
    <xf numFmtId="0" fontId="5" fillId="7" borderId="2" xfId="0" applyFont="1" applyFill="1" applyBorder="1" applyAlignment="1">
      <alignment horizontal="center" wrapText="1"/>
    </xf>
    <xf numFmtId="0" fontId="5" fillId="7" borderId="3" xfId="0" applyFont="1" applyFill="1" applyBorder="1" applyAlignment="1">
      <alignment horizontal="center" wrapText="1"/>
    </xf>
    <xf numFmtId="0" fontId="5" fillId="7" borderId="4" xfId="0" applyFont="1" applyFill="1" applyBorder="1" applyAlignment="1">
      <alignment horizontal="center" wrapText="1"/>
    </xf>
    <xf numFmtId="0" fontId="6" fillId="7" borderId="5" xfId="0" applyFont="1" applyFill="1" applyBorder="1" applyAlignment="1">
      <alignment horizontal="left" vertical="center"/>
    </xf>
    <xf numFmtId="0" fontId="6" fillId="7" borderId="6" xfId="0" applyFont="1" applyFill="1" applyBorder="1" applyAlignment="1">
      <alignment horizontal="left" vertical="center"/>
    </xf>
    <xf numFmtId="0" fontId="10" fillId="8" borderId="7" xfId="0" applyFont="1" applyFill="1" applyBorder="1" applyAlignment="1" applyProtection="1">
      <alignment horizontal="center" vertical="center" wrapText="1"/>
      <protection locked="0"/>
    </xf>
    <xf numFmtId="2" fontId="10" fillId="8" borderId="8" xfId="0" applyNumberFormat="1" applyFont="1" applyFill="1" applyBorder="1" applyAlignment="1" applyProtection="1">
      <alignment horizontal="center" vertical="center"/>
      <protection locked="0"/>
    </xf>
    <xf numFmtId="1" fontId="10" fillId="8" borderId="9" xfId="0" applyNumberFormat="1" applyFont="1" applyFill="1" applyBorder="1" applyAlignment="1" applyProtection="1">
      <alignment horizontal="center" vertical="center"/>
      <protection locked="0"/>
    </xf>
    <xf numFmtId="1" fontId="10" fillId="8" borderId="10" xfId="0" applyNumberFormat="1" applyFont="1" applyFill="1" applyBorder="1" applyAlignment="1" applyProtection="1">
      <alignment horizontal="center" vertical="center"/>
      <protection locked="0"/>
    </xf>
    <xf numFmtId="1" fontId="10" fillId="8" borderId="11" xfId="0" applyNumberFormat="1" applyFont="1" applyFill="1" applyBorder="1" applyAlignment="1" applyProtection="1">
      <alignment horizontal="center" vertical="center" wrapText="1"/>
      <protection locked="0"/>
    </xf>
    <xf numFmtId="165" fontId="10" fillId="8" borderId="12" xfId="0" applyNumberFormat="1" applyFont="1" applyFill="1" applyBorder="1" applyAlignment="1" applyProtection="1">
      <alignment horizontal="center" vertical="center"/>
      <protection locked="0"/>
    </xf>
    <xf numFmtId="165" fontId="10" fillId="8" borderId="13" xfId="0" applyNumberFormat="1" applyFont="1" applyFill="1" applyBorder="1" applyAlignment="1" applyProtection="1">
      <alignment horizontal="center" vertical="center"/>
      <protection locked="0"/>
    </xf>
    <xf numFmtId="0" fontId="6" fillId="6" borderId="0" xfId="0" applyFont="1" applyFill="1" applyBorder="1" applyAlignment="1">
      <alignment horizontal="left" vertical="center"/>
    </xf>
    <xf numFmtId="1" fontId="4" fillId="9" borderId="14" xfId="0" applyNumberFormat="1" applyFont="1" applyFill="1" applyBorder="1" applyAlignment="1" applyProtection="1">
      <alignment horizontal="center" vertical="center"/>
      <protection locked="0"/>
    </xf>
    <xf numFmtId="165" fontId="10" fillId="9" borderId="8" xfId="0" applyNumberFormat="1" applyFont="1" applyFill="1" applyBorder="1" applyAlignment="1">
      <alignment horizontal="center" vertical="center"/>
    </xf>
    <xf numFmtId="1" fontId="10" fillId="9" borderId="15" xfId="0" applyNumberFormat="1" applyFont="1" applyFill="1" applyBorder="1" applyAlignment="1">
      <alignment horizontal="center" vertical="center"/>
    </xf>
    <xf numFmtId="165" fontId="10" fillId="9" borderId="9" xfId="0" applyNumberFormat="1" applyFont="1" applyFill="1" applyBorder="1" applyAlignment="1">
      <alignment horizontal="center" vertical="center"/>
    </xf>
    <xf numFmtId="165" fontId="10" fillId="9" borderId="16" xfId="0" applyNumberFormat="1" applyFont="1" applyFill="1" applyBorder="1" applyAlignment="1">
      <alignment horizontal="center" vertical="center"/>
    </xf>
    <xf numFmtId="165" fontId="10" fillId="8" borderId="15" xfId="0" applyNumberFormat="1" applyFont="1" applyFill="1" applyBorder="1" applyAlignment="1" applyProtection="1">
      <alignment horizontal="center" vertical="center" wrapText="1"/>
      <protection locked="0"/>
    </xf>
    <xf numFmtId="165" fontId="10" fillId="8" borderId="8" xfId="0" applyNumberFormat="1" applyFont="1" applyFill="1" applyBorder="1" applyAlignment="1" applyProtection="1">
      <alignment horizontal="center" vertical="center"/>
      <protection locked="0"/>
    </xf>
    <xf numFmtId="165" fontId="10" fillId="8" borderId="9" xfId="0" applyNumberFormat="1" applyFont="1" applyFill="1" applyBorder="1" applyAlignment="1" applyProtection="1">
      <alignment horizontal="center" vertical="center" wrapText="1"/>
      <protection locked="0"/>
    </xf>
    <xf numFmtId="0" fontId="24" fillId="7" borderId="17" xfId="0" applyFont="1" applyFill="1" applyBorder="1" applyAlignment="1">
      <alignment horizontal="left" vertical="top"/>
    </xf>
    <xf numFmtId="13" fontId="10" fillId="8" borderId="18" xfId="0" quotePrefix="1" applyNumberFormat="1" applyFont="1" applyFill="1" applyBorder="1" applyAlignment="1" applyProtection="1">
      <alignment horizontal="center" vertical="center" wrapText="1"/>
      <protection locked="0"/>
    </xf>
    <xf numFmtId="164" fontId="10" fillId="8" borderId="19" xfId="0" applyNumberFormat="1" applyFont="1" applyFill="1" applyBorder="1" applyAlignment="1" applyProtection="1">
      <alignment horizontal="center" vertical="center"/>
      <protection locked="0"/>
    </xf>
    <xf numFmtId="1" fontId="10" fillId="6" borderId="0" xfId="0" applyNumberFormat="1" applyFont="1" applyFill="1" applyBorder="1" applyAlignment="1" applyProtection="1">
      <alignment horizontal="center" vertical="center"/>
    </xf>
    <xf numFmtId="1" fontId="4" fillId="6" borderId="0" xfId="0" applyNumberFormat="1" applyFont="1" applyFill="1" applyBorder="1" applyAlignment="1" applyProtection="1">
      <alignment horizontal="center" vertical="center"/>
    </xf>
    <xf numFmtId="0" fontId="25" fillId="8" borderId="20" xfId="0" applyFont="1" applyFill="1" applyBorder="1" applyAlignment="1" applyProtection="1">
      <alignment horizontal="center" vertical="center"/>
      <protection locked="0"/>
    </xf>
    <xf numFmtId="165" fontId="25" fillId="8" borderId="21" xfId="0" applyNumberFormat="1" applyFont="1" applyFill="1" applyBorder="1" applyAlignment="1" applyProtection="1">
      <alignment horizontal="center" vertical="center"/>
      <protection locked="0"/>
    </xf>
    <xf numFmtId="164" fontId="25" fillId="8" borderId="13" xfId="0" applyNumberFormat="1" applyFont="1" applyFill="1" applyBorder="1" applyAlignment="1" applyProtection="1">
      <alignment horizontal="center" vertical="center"/>
      <protection locked="0"/>
    </xf>
    <xf numFmtId="1" fontId="25" fillId="8" borderId="19" xfId="0" applyNumberFormat="1" applyFont="1" applyFill="1" applyBorder="1" applyAlignment="1" applyProtection="1">
      <alignment horizontal="center" vertical="center"/>
      <protection locked="0"/>
    </xf>
    <xf numFmtId="0" fontId="13" fillId="6" borderId="0" xfId="0" quotePrefix="1" applyFont="1" applyFill="1" applyAlignment="1" applyProtection="1">
      <alignment horizontal="left" vertical="center"/>
    </xf>
    <xf numFmtId="0" fontId="15" fillId="6" borderId="0" xfId="0" applyFont="1" applyFill="1" applyAlignment="1" applyProtection="1">
      <alignment horizontal="left" vertical="center"/>
    </xf>
    <xf numFmtId="0" fontId="26" fillId="0" borderId="0" xfId="1" applyFont="1" applyBorder="1" applyAlignment="1">
      <alignment horizontal="center" vertical="center"/>
    </xf>
    <xf numFmtId="0" fontId="26" fillId="0" borderId="0" xfId="1" applyFont="1" applyBorder="1" applyAlignment="1">
      <alignment horizontal="center"/>
    </xf>
    <xf numFmtId="0" fontId="5" fillId="0" borderId="0" xfId="1"/>
    <xf numFmtId="0" fontId="5" fillId="2" borderId="7" xfId="1" applyFill="1" applyBorder="1" applyAlignment="1">
      <alignment horizontal="center"/>
    </xf>
    <xf numFmtId="166" fontId="5" fillId="2" borderId="18" xfId="1" applyNumberFormat="1" applyFill="1" applyBorder="1" applyAlignment="1">
      <alignment horizontal="center"/>
    </xf>
    <xf numFmtId="0" fontId="5" fillId="2" borderId="18" xfId="1" applyFill="1" applyBorder="1" applyAlignment="1">
      <alignment horizontal="left"/>
    </xf>
    <xf numFmtId="164" fontId="5" fillId="2" borderId="18" xfId="1" applyNumberFormat="1" applyFont="1" applyFill="1" applyBorder="1" applyAlignment="1">
      <alignment horizontal="center"/>
    </xf>
    <xf numFmtId="0" fontId="5" fillId="2" borderId="11" xfId="1" applyFill="1" applyBorder="1" applyAlignment="1">
      <alignment horizontal="center"/>
    </xf>
    <xf numFmtId="0" fontId="5" fillId="2" borderId="18" xfId="1" applyFont="1" applyFill="1" applyBorder="1" applyAlignment="1">
      <alignment horizontal="center"/>
    </xf>
    <xf numFmtId="0" fontId="5" fillId="2" borderId="7" xfId="1" applyFill="1" applyBorder="1" applyAlignment="1">
      <alignment horizontal="left" wrapText="1"/>
    </xf>
    <xf numFmtId="0" fontId="5" fillId="2" borderId="2" xfId="1" applyFill="1" applyBorder="1" applyAlignment="1">
      <alignment horizontal="center" vertical="center"/>
    </xf>
    <xf numFmtId="166" fontId="5" fillId="2" borderId="3" xfId="1" applyNumberFormat="1" applyFill="1" applyBorder="1" applyAlignment="1">
      <alignment horizontal="center" vertical="center"/>
    </xf>
    <xf numFmtId="0" fontId="5" fillId="2" borderId="3" xfId="1" applyFill="1" applyBorder="1" applyAlignment="1">
      <alignment horizontal="left" vertical="center"/>
    </xf>
    <xf numFmtId="164" fontId="5" fillId="2" borderId="3" xfId="1" applyNumberFormat="1" applyFont="1" applyFill="1" applyBorder="1" applyAlignment="1">
      <alignment horizontal="center" vertical="center"/>
    </xf>
    <xf numFmtId="0" fontId="5" fillId="2" borderId="3" xfId="1" applyFill="1" applyBorder="1" applyAlignment="1">
      <alignment horizontal="center" vertical="center"/>
    </xf>
    <xf numFmtId="0" fontId="5" fillId="2" borderId="22" xfId="1" applyFill="1" applyBorder="1" applyAlignment="1">
      <alignment horizontal="center" vertical="center"/>
    </xf>
    <xf numFmtId="164" fontId="5" fillId="2" borderId="23" xfId="1" applyNumberFormat="1" applyFont="1" applyFill="1" applyBorder="1" applyAlignment="1">
      <alignment horizontal="center" vertical="center"/>
    </xf>
    <xf numFmtId="0" fontId="5" fillId="2" borderId="24" xfId="1" applyFill="1" applyBorder="1" applyAlignment="1">
      <alignment horizontal="center" vertical="center"/>
    </xf>
    <xf numFmtId="165" fontId="5" fillId="2" borderId="23" xfId="1" applyNumberFormat="1" applyFont="1" applyFill="1" applyBorder="1" applyAlignment="1">
      <alignment horizontal="center" vertical="center"/>
    </xf>
    <xf numFmtId="0" fontId="5" fillId="2" borderId="24" xfId="1" applyFont="1" applyFill="1" applyBorder="1" applyAlignment="1">
      <alignment horizontal="center" vertical="center"/>
    </xf>
    <xf numFmtId="1" fontId="5" fillId="2" borderId="25" xfId="1" applyNumberFormat="1" applyFont="1" applyFill="1" applyBorder="1" applyAlignment="1">
      <alignment horizontal="center" vertical="center"/>
    </xf>
    <xf numFmtId="0" fontId="5" fillId="2" borderId="3" xfId="1" applyFont="1" applyFill="1" applyBorder="1" applyAlignment="1">
      <alignment horizontal="center" vertical="center"/>
    </xf>
    <xf numFmtId="0" fontId="5" fillId="2" borderId="26" xfId="1" applyFill="1" applyBorder="1" applyAlignment="1">
      <alignment horizontal="center" vertical="center"/>
    </xf>
    <xf numFmtId="0" fontId="5" fillId="2" borderId="27" xfId="1" applyFont="1" applyFill="1" applyBorder="1" applyAlignment="1">
      <alignment horizontal="center" vertical="center"/>
    </xf>
    <xf numFmtId="0" fontId="5" fillId="2" borderId="28" xfId="1" applyFill="1" applyBorder="1" applyAlignment="1">
      <alignment horizontal="center" vertical="center"/>
    </xf>
    <xf numFmtId="0" fontId="5" fillId="2" borderId="2" xfId="1" applyFill="1" applyBorder="1" applyAlignment="1">
      <alignment horizontal="left" vertical="center" wrapText="1"/>
    </xf>
    <xf numFmtId="0" fontId="5" fillId="6" borderId="29" xfId="1" applyFill="1" applyBorder="1" applyAlignment="1">
      <alignment horizontal="center" vertical="center"/>
    </xf>
    <xf numFmtId="166" fontId="5" fillId="6" borderId="30" xfId="1" applyNumberFormat="1" applyFill="1" applyBorder="1" applyAlignment="1" applyProtection="1">
      <alignment horizontal="center" vertical="center"/>
      <protection locked="0"/>
    </xf>
    <xf numFmtId="0" fontId="5" fillId="6" borderId="3" xfId="1" applyFill="1" applyBorder="1" applyAlignment="1" applyProtection="1">
      <alignment horizontal="left" vertical="center"/>
      <protection locked="0"/>
    </xf>
    <xf numFmtId="164" fontId="5" fillId="6" borderId="3" xfId="1" applyNumberFormat="1" applyFill="1" applyBorder="1" applyAlignment="1" applyProtection="1">
      <alignment horizontal="center" vertical="center"/>
      <protection locked="0"/>
    </xf>
    <xf numFmtId="0" fontId="5" fillId="6" borderId="3" xfId="1" applyFill="1" applyBorder="1" applyAlignment="1" applyProtection="1">
      <alignment horizontal="center" vertical="center"/>
      <protection locked="0"/>
    </xf>
    <xf numFmtId="164" fontId="5" fillId="6" borderId="31" xfId="1" applyNumberFormat="1" applyFill="1" applyBorder="1" applyAlignment="1" applyProtection="1">
      <alignment horizontal="center" vertical="center"/>
      <protection locked="0"/>
    </xf>
    <xf numFmtId="165" fontId="5" fillId="6" borderId="31" xfId="1" applyNumberFormat="1" applyFill="1" applyBorder="1" applyAlignment="1" applyProtection="1">
      <alignment horizontal="center" vertical="center"/>
      <protection locked="0"/>
    </xf>
    <xf numFmtId="13" fontId="5" fillId="6" borderId="29" xfId="1" applyNumberFormat="1" applyFont="1" applyFill="1" applyBorder="1" applyAlignment="1" applyProtection="1">
      <alignment horizontal="center" vertical="center"/>
      <protection locked="0"/>
    </xf>
    <xf numFmtId="164" fontId="5" fillId="6" borderId="32" xfId="1" applyNumberFormat="1" applyFont="1" applyFill="1" applyBorder="1" applyAlignment="1" applyProtection="1">
      <alignment horizontal="center" vertical="center"/>
      <protection locked="0"/>
    </xf>
    <xf numFmtId="0" fontId="5" fillId="6" borderId="30" xfId="1" applyFill="1" applyBorder="1" applyAlignment="1" applyProtection="1">
      <alignment horizontal="center" vertical="center"/>
      <protection locked="0"/>
    </xf>
    <xf numFmtId="165" fontId="5" fillId="6" borderId="30" xfId="1" applyNumberFormat="1" applyFill="1" applyBorder="1" applyAlignment="1" applyProtection="1">
      <alignment horizontal="center" vertical="center"/>
      <protection locked="0"/>
    </xf>
    <xf numFmtId="165" fontId="5" fillId="6" borderId="30" xfId="1" applyNumberFormat="1" applyFont="1" applyFill="1" applyBorder="1" applyAlignment="1" applyProtection="1">
      <alignment horizontal="center" vertical="center"/>
      <protection locked="0"/>
    </xf>
    <xf numFmtId="1" fontId="5" fillId="6" borderId="33" xfId="1" applyNumberFormat="1" applyFill="1" applyBorder="1" applyAlignment="1" applyProtection="1">
      <alignment horizontal="center" vertical="center"/>
      <protection locked="0"/>
    </xf>
    <xf numFmtId="165" fontId="8" fillId="10" borderId="31" xfId="1" applyNumberFormat="1" applyFont="1" applyFill="1" applyBorder="1" applyAlignment="1" applyProtection="1">
      <alignment horizontal="center" vertical="center" wrapText="1"/>
      <protection locked="0"/>
    </xf>
    <xf numFmtId="0" fontId="5" fillId="6" borderId="34" xfId="1" applyFill="1" applyBorder="1" applyAlignment="1" applyProtection="1">
      <alignment horizontal="center" vertical="center"/>
      <protection locked="0"/>
    </xf>
    <xf numFmtId="0" fontId="5" fillId="6" borderId="35" xfId="1" applyFont="1" applyFill="1" applyBorder="1" applyAlignment="1" applyProtection="1">
      <alignment horizontal="center" vertical="center"/>
      <protection locked="0"/>
    </xf>
    <xf numFmtId="0" fontId="5" fillId="6" borderId="4" xfId="1" applyFill="1" applyBorder="1" applyAlignment="1" applyProtection="1">
      <alignment horizontal="center" vertical="center"/>
      <protection locked="0"/>
    </xf>
    <xf numFmtId="0" fontId="5" fillId="3" borderId="29" xfId="1" applyFont="1" applyFill="1" applyBorder="1" applyAlignment="1" applyProtection="1">
      <alignment horizontal="left" vertical="center"/>
      <protection locked="0"/>
    </xf>
    <xf numFmtId="0" fontId="5" fillId="3" borderId="30" xfId="1" applyFont="1" applyFill="1" applyBorder="1" applyAlignment="1" applyProtection="1">
      <alignment horizontal="center" vertical="center"/>
      <protection locked="0"/>
    </xf>
    <xf numFmtId="13" fontId="5" fillId="3" borderId="30" xfId="1" applyNumberFormat="1" applyFont="1" applyFill="1" applyBorder="1" applyAlignment="1" applyProtection="1">
      <alignment horizontal="center" vertical="center"/>
      <protection locked="0"/>
    </xf>
    <xf numFmtId="13" fontId="5" fillId="3" borderId="36" xfId="1" applyNumberFormat="1" applyFill="1" applyBorder="1" applyAlignment="1" applyProtection="1">
      <alignment horizontal="center" vertical="center"/>
      <protection locked="0"/>
    </xf>
    <xf numFmtId="165" fontId="8" fillId="3" borderId="31" xfId="1" applyNumberFormat="1" applyFont="1" applyFill="1" applyBorder="1" applyAlignment="1" applyProtection="1">
      <alignment horizontal="center" vertical="center"/>
      <protection locked="0"/>
    </xf>
    <xf numFmtId="0" fontId="5" fillId="0" borderId="29" xfId="1" applyBorder="1" applyAlignment="1">
      <alignment horizontal="center" vertical="center"/>
    </xf>
    <xf numFmtId="166" fontId="5" fillId="0" borderId="34" xfId="1" applyNumberFormat="1" applyBorder="1" applyAlignment="1" applyProtection="1">
      <alignment horizontal="center" vertical="center"/>
      <protection locked="0"/>
    </xf>
    <xf numFmtId="0" fontId="5" fillId="0" borderId="37" xfId="1" applyBorder="1" applyAlignment="1" applyProtection="1">
      <alignment horizontal="left" vertical="center"/>
      <protection locked="0"/>
    </xf>
    <xf numFmtId="164" fontId="5" fillId="0" borderId="37" xfId="1" applyNumberFormat="1" applyBorder="1" applyAlignment="1" applyProtection="1">
      <alignment horizontal="center" vertical="center"/>
      <protection locked="0"/>
    </xf>
    <xf numFmtId="0" fontId="5" fillId="0" borderId="37" xfId="1" applyBorder="1" applyAlignment="1" applyProtection="1">
      <alignment horizontal="center" vertical="center"/>
      <protection locked="0"/>
    </xf>
    <xf numFmtId="164" fontId="5" fillId="0" borderId="38" xfId="1" applyNumberFormat="1" applyBorder="1" applyAlignment="1" applyProtection="1">
      <alignment horizontal="center" vertical="center"/>
      <protection locked="0"/>
    </xf>
    <xf numFmtId="165" fontId="5" fillId="0" borderId="31" xfId="1" applyNumberFormat="1" applyBorder="1" applyAlignment="1" applyProtection="1">
      <alignment horizontal="center" vertical="center"/>
      <protection locked="0"/>
    </xf>
    <xf numFmtId="13" fontId="5" fillId="0" borderId="29" xfId="1" applyNumberFormat="1" applyFont="1" applyBorder="1" applyAlignment="1" applyProtection="1">
      <alignment horizontal="center" vertical="center"/>
      <protection locked="0"/>
    </xf>
    <xf numFmtId="164" fontId="5" fillId="0" borderId="32" xfId="1" applyNumberFormat="1" applyFont="1" applyBorder="1" applyAlignment="1" applyProtection="1">
      <alignment horizontal="center" vertical="center"/>
      <protection locked="0"/>
    </xf>
    <xf numFmtId="0" fontId="5" fillId="0" borderId="30" xfId="1" applyBorder="1" applyAlignment="1" applyProtection="1">
      <alignment horizontal="center" vertical="center"/>
      <protection locked="0"/>
    </xf>
    <xf numFmtId="165" fontId="5" fillId="0" borderId="30" xfId="1" applyNumberFormat="1" applyBorder="1" applyAlignment="1" applyProtection="1">
      <alignment horizontal="center" vertical="center"/>
      <protection locked="0"/>
    </xf>
    <xf numFmtId="165" fontId="5" fillId="4" borderId="30" xfId="1" applyNumberFormat="1" applyFont="1" applyFill="1" applyBorder="1" applyAlignment="1" applyProtection="1">
      <alignment horizontal="center" vertical="center"/>
      <protection locked="0"/>
    </xf>
    <xf numFmtId="1" fontId="5" fillId="0" borderId="36" xfId="1" applyNumberFormat="1" applyBorder="1" applyAlignment="1" applyProtection="1">
      <alignment horizontal="center" vertical="center"/>
      <protection locked="0"/>
    </xf>
    <xf numFmtId="165" fontId="8" fillId="3" borderId="38" xfId="1" applyNumberFormat="1" applyFont="1" applyFill="1" applyBorder="1" applyAlignment="1" applyProtection="1">
      <alignment horizontal="center" vertical="center" wrapText="1"/>
      <protection locked="0"/>
    </xf>
    <xf numFmtId="0" fontId="5" fillId="0" borderId="39" xfId="1" applyBorder="1" applyAlignment="1" applyProtection="1">
      <alignment horizontal="center" vertical="center"/>
      <protection locked="0"/>
    </xf>
    <xf numFmtId="0" fontId="5" fillId="0" borderId="40" xfId="1" applyFont="1" applyBorder="1" applyAlignment="1" applyProtection="1">
      <alignment horizontal="center" vertical="center"/>
      <protection locked="0"/>
    </xf>
    <xf numFmtId="0" fontId="5" fillId="0" borderId="41" xfId="1" applyBorder="1" applyAlignment="1" applyProtection="1">
      <alignment horizontal="center" vertical="center"/>
      <protection locked="0"/>
    </xf>
    <xf numFmtId="0" fontId="5" fillId="3" borderId="42" xfId="1" applyFont="1" applyFill="1" applyBorder="1" applyAlignment="1" applyProtection="1">
      <alignment horizontal="left" vertical="center"/>
      <protection locked="0"/>
    </xf>
    <xf numFmtId="0" fontId="5" fillId="3" borderId="43" xfId="1" applyFont="1" applyFill="1" applyBorder="1" applyAlignment="1" applyProtection="1">
      <alignment horizontal="center" vertical="center"/>
      <protection locked="0"/>
    </xf>
    <xf numFmtId="13" fontId="5" fillId="3" borderId="43" xfId="1" applyNumberFormat="1" applyFont="1" applyFill="1" applyBorder="1" applyAlignment="1" applyProtection="1">
      <alignment horizontal="center" vertical="center"/>
      <protection locked="0"/>
    </xf>
    <xf numFmtId="13" fontId="5" fillId="3" borderId="44" xfId="1" applyNumberFormat="1" applyFill="1" applyBorder="1" applyAlignment="1" applyProtection="1">
      <alignment horizontal="center" vertical="center"/>
      <protection locked="0"/>
    </xf>
    <xf numFmtId="165" fontId="8" fillId="3" borderId="38" xfId="1" applyNumberFormat="1" applyFont="1" applyFill="1" applyBorder="1" applyAlignment="1" applyProtection="1">
      <alignment horizontal="center" vertical="center"/>
      <protection locked="0"/>
    </xf>
    <xf numFmtId="0" fontId="5" fillId="6" borderId="42" xfId="1" applyFill="1" applyBorder="1" applyAlignment="1">
      <alignment horizontal="center" vertical="center"/>
    </xf>
    <xf numFmtId="166" fontId="5" fillId="6" borderId="43" xfId="1" applyNumberFormat="1" applyFill="1" applyBorder="1" applyAlignment="1" applyProtection="1">
      <alignment horizontal="center" vertical="center"/>
      <protection locked="0"/>
    </xf>
    <xf numFmtId="0" fontId="5" fillId="6" borderId="37" xfId="1" applyFill="1" applyBorder="1" applyAlignment="1" applyProtection="1">
      <alignment horizontal="left" vertical="center"/>
      <protection locked="0"/>
    </xf>
    <xf numFmtId="164" fontId="5" fillId="6" borderId="37" xfId="1" applyNumberFormat="1" applyFill="1" applyBorder="1" applyAlignment="1" applyProtection="1">
      <alignment horizontal="center" vertical="center"/>
      <protection locked="0"/>
    </xf>
    <xf numFmtId="0" fontId="5" fillId="6" borderId="37" xfId="1" applyFill="1" applyBorder="1" applyAlignment="1" applyProtection="1">
      <alignment horizontal="center" vertical="center"/>
      <protection locked="0"/>
    </xf>
    <xf numFmtId="164" fontId="5" fillId="6" borderId="38" xfId="1" applyNumberFormat="1" applyFill="1" applyBorder="1" applyAlignment="1" applyProtection="1">
      <alignment horizontal="center" vertical="center"/>
      <protection locked="0"/>
    </xf>
    <xf numFmtId="165" fontId="5" fillId="6" borderId="38" xfId="1" applyNumberFormat="1" applyFill="1" applyBorder="1" applyAlignment="1" applyProtection="1">
      <alignment horizontal="center" vertical="center"/>
      <protection locked="0"/>
    </xf>
    <xf numFmtId="13" fontId="5" fillId="6" borderId="42" xfId="1" applyNumberFormat="1" applyFont="1" applyFill="1" applyBorder="1" applyAlignment="1" applyProtection="1">
      <alignment horizontal="center" vertical="center"/>
      <protection locked="0"/>
    </xf>
    <xf numFmtId="164" fontId="5" fillId="6" borderId="45" xfId="1" applyNumberFormat="1" applyFont="1" applyFill="1" applyBorder="1" applyAlignment="1" applyProtection="1">
      <alignment horizontal="center" vertical="center"/>
      <protection locked="0"/>
    </xf>
    <xf numFmtId="0" fontId="5" fillId="6" borderId="43" xfId="1" applyFill="1" applyBorder="1" applyAlignment="1" applyProtection="1">
      <alignment horizontal="center" vertical="center"/>
      <protection locked="0"/>
    </xf>
    <xf numFmtId="165" fontId="5" fillId="6" borderId="43" xfId="1" applyNumberFormat="1" applyFill="1" applyBorder="1" applyAlignment="1" applyProtection="1">
      <alignment horizontal="center" vertical="center"/>
      <protection locked="0"/>
    </xf>
    <xf numFmtId="165" fontId="5" fillId="6" borderId="43" xfId="1" applyNumberFormat="1" applyFont="1" applyFill="1" applyBorder="1" applyAlignment="1" applyProtection="1">
      <alignment horizontal="center" vertical="center"/>
      <protection locked="0"/>
    </xf>
    <xf numFmtId="1" fontId="5" fillId="6" borderId="46" xfId="1" applyNumberFormat="1" applyFill="1" applyBorder="1" applyAlignment="1" applyProtection="1">
      <alignment horizontal="center" vertical="center"/>
      <protection locked="0"/>
    </xf>
    <xf numFmtId="165" fontId="8" fillId="10" borderId="38" xfId="1" applyNumberFormat="1" applyFont="1" applyFill="1" applyBorder="1" applyAlignment="1" applyProtection="1">
      <alignment horizontal="center" vertical="center" wrapText="1"/>
      <protection locked="0"/>
    </xf>
    <xf numFmtId="0" fontId="5" fillId="6" borderId="39" xfId="1" applyFill="1" applyBorder="1" applyAlignment="1" applyProtection="1">
      <alignment horizontal="center" vertical="center"/>
      <protection locked="0"/>
    </xf>
    <xf numFmtId="0" fontId="5" fillId="6" borderId="40" xfId="1" applyFont="1" applyFill="1" applyBorder="1" applyAlignment="1" applyProtection="1">
      <alignment horizontal="center" vertical="center"/>
      <protection locked="0"/>
    </xf>
    <xf numFmtId="0" fontId="5" fillId="6" borderId="41" xfId="1" applyFill="1" applyBorder="1" applyAlignment="1" applyProtection="1">
      <alignment horizontal="center" vertical="center"/>
      <protection locked="0"/>
    </xf>
    <xf numFmtId="0" fontId="5" fillId="0" borderId="47" xfId="1" applyBorder="1" applyAlignment="1">
      <alignment horizontal="center" vertical="center"/>
    </xf>
    <xf numFmtId="166" fontId="5" fillId="0" borderId="48" xfId="1" applyNumberFormat="1" applyBorder="1" applyAlignment="1" applyProtection="1">
      <alignment horizontal="center" vertical="center"/>
      <protection locked="0"/>
    </xf>
    <xf numFmtId="0" fontId="5" fillId="0" borderId="24" xfId="1" applyBorder="1" applyAlignment="1" applyProtection="1">
      <alignment horizontal="left" vertical="center"/>
      <protection locked="0"/>
    </xf>
    <xf numFmtId="164" fontId="5" fillId="0" borderId="24" xfId="1" applyNumberFormat="1" applyBorder="1" applyAlignment="1" applyProtection="1">
      <alignment horizontal="center" vertical="center"/>
      <protection locked="0"/>
    </xf>
    <xf numFmtId="0" fontId="5" fillId="0" borderId="24" xfId="1" applyBorder="1" applyAlignment="1" applyProtection="1">
      <alignment horizontal="center" vertical="center"/>
      <protection locked="0"/>
    </xf>
    <xf numFmtId="164" fontId="5" fillId="0" borderId="49" xfId="1" applyNumberFormat="1" applyBorder="1" applyAlignment="1" applyProtection="1">
      <alignment horizontal="center" vertical="center"/>
      <protection locked="0"/>
    </xf>
    <xf numFmtId="165" fontId="5" fillId="0" borderId="50" xfId="1" applyNumberFormat="1" applyBorder="1" applyAlignment="1" applyProtection="1">
      <alignment horizontal="center" vertical="center"/>
      <protection locked="0"/>
    </xf>
    <xf numFmtId="13" fontId="5" fillId="0" borderId="47" xfId="1" applyNumberFormat="1" applyFont="1" applyBorder="1" applyAlignment="1" applyProtection="1">
      <alignment horizontal="center" vertical="center"/>
      <protection locked="0"/>
    </xf>
    <xf numFmtId="164" fontId="5" fillId="0" borderId="48" xfId="1" applyNumberFormat="1" applyFont="1" applyBorder="1" applyAlignment="1" applyProtection="1">
      <alignment horizontal="center" vertical="center"/>
      <protection locked="0"/>
    </xf>
    <xf numFmtId="0" fontId="5" fillId="0" borderId="26" xfId="1" applyBorder="1" applyAlignment="1" applyProtection="1">
      <alignment horizontal="center" vertical="center"/>
      <protection locked="0"/>
    </xf>
    <xf numFmtId="165" fontId="5" fillId="0" borderId="26" xfId="1" applyNumberFormat="1" applyBorder="1" applyAlignment="1" applyProtection="1">
      <alignment horizontal="center" vertical="center"/>
      <protection locked="0"/>
    </xf>
    <xf numFmtId="165" fontId="5" fillId="4" borderId="26" xfId="1" applyNumberFormat="1" applyFont="1" applyFill="1" applyBorder="1" applyAlignment="1" applyProtection="1">
      <alignment horizontal="center" vertical="center"/>
      <protection locked="0"/>
    </xf>
    <xf numFmtId="1" fontId="5" fillId="0" borderId="27" xfId="1" applyNumberFormat="1" applyBorder="1" applyAlignment="1" applyProtection="1">
      <alignment horizontal="center" vertical="center"/>
      <protection locked="0"/>
    </xf>
    <xf numFmtId="165" fontId="8" fillId="3" borderId="49" xfId="1" applyNumberFormat="1" applyFont="1" applyFill="1" applyBorder="1" applyAlignment="1" applyProtection="1">
      <alignment horizontal="center" vertical="center" wrapText="1"/>
      <protection locked="0"/>
    </xf>
    <xf numFmtId="0" fontId="5" fillId="0" borderId="23" xfId="1" applyBorder="1" applyAlignment="1" applyProtection="1">
      <alignment horizontal="center" vertical="center"/>
      <protection locked="0"/>
    </xf>
    <xf numFmtId="0" fontId="5" fillId="0" borderId="51" xfId="1" applyFont="1" applyBorder="1" applyAlignment="1" applyProtection="1">
      <alignment horizontal="center" vertical="center"/>
      <protection locked="0"/>
    </xf>
    <xf numFmtId="0" fontId="5" fillId="0" borderId="25" xfId="1" applyBorder="1" applyAlignment="1" applyProtection="1">
      <alignment horizontal="center" vertical="center"/>
      <protection locked="0"/>
    </xf>
    <xf numFmtId="0" fontId="5" fillId="3" borderId="22" xfId="1" applyFont="1" applyFill="1" applyBorder="1" applyAlignment="1" applyProtection="1">
      <alignment horizontal="left" vertical="center"/>
      <protection locked="0"/>
    </xf>
    <xf numFmtId="0" fontId="5" fillId="3" borderId="24" xfId="1" applyFont="1" applyFill="1" applyBorder="1" applyAlignment="1" applyProtection="1">
      <alignment horizontal="center" vertical="center"/>
      <protection locked="0"/>
    </xf>
    <xf numFmtId="13" fontId="5" fillId="3" borderId="24" xfId="1" applyNumberFormat="1" applyFont="1" applyFill="1" applyBorder="1" applyAlignment="1" applyProtection="1">
      <alignment horizontal="center" vertical="center"/>
      <protection locked="0"/>
    </xf>
    <xf numFmtId="13" fontId="5" fillId="3" borderId="51" xfId="1" applyNumberFormat="1" applyFill="1" applyBorder="1" applyAlignment="1" applyProtection="1">
      <alignment horizontal="center" vertical="center"/>
      <protection locked="0"/>
    </xf>
    <xf numFmtId="165" fontId="8" fillId="3" borderId="49" xfId="1" applyNumberFormat="1" applyFont="1" applyFill="1" applyBorder="1" applyAlignment="1" applyProtection="1">
      <alignment horizontal="center" vertical="center"/>
      <protection locked="0"/>
    </xf>
    <xf numFmtId="0" fontId="5" fillId="0" borderId="0" xfId="1" applyAlignment="1">
      <alignment horizontal="center"/>
    </xf>
    <xf numFmtId="166" fontId="5" fillId="0" borderId="0" xfId="1" applyNumberFormat="1" applyAlignment="1">
      <alignment horizontal="center"/>
    </xf>
    <xf numFmtId="0" fontId="5" fillId="0" borderId="0" xfId="1" applyAlignment="1">
      <alignment horizontal="left"/>
    </xf>
    <xf numFmtId="164" fontId="5" fillId="0" borderId="0" xfId="1" applyNumberFormat="1" applyAlignment="1">
      <alignment horizontal="center"/>
    </xf>
    <xf numFmtId="165" fontId="5" fillId="0" borderId="0" xfId="1" applyNumberFormat="1" applyAlignment="1">
      <alignment horizontal="center"/>
    </xf>
    <xf numFmtId="164" fontId="5" fillId="0" borderId="0" xfId="1" applyNumberFormat="1"/>
    <xf numFmtId="165" fontId="5" fillId="0" borderId="0" xfId="1" applyNumberFormat="1"/>
    <xf numFmtId="1" fontId="5" fillId="0" borderId="0" xfId="1" applyNumberFormat="1"/>
    <xf numFmtId="0" fontId="5" fillId="0" borderId="0" xfId="1" applyAlignment="1">
      <alignment horizontal="center" wrapText="1"/>
    </xf>
    <xf numFmtId="13" fontId="5" fillId="0" borderId="0" xfId="1" applyNumberFormat="1" applyAlignment="1">
      <alignment horizontal="center"/>
    </xf>
    <xf numFmtId="164" fontId="5" fillId="3" borderId="36" xfId="1" applyNumberFormat="1" applyFont="1" applyFill="1" applyBorder="1" applyAlignment="1" applyProtection="1">
      <alignment horizontal="center" vertical="center"/>
      <protection locked="0"/>
    </xf>
    <xf numFmtId="164" fontId="5" fillId="3" borderId="44" xfId="1" applyNumberFormat="1" applyFont="1" applyFill="1" applyBorder="1" applyAlignment="1" applyProtection="1">
      <alignment horizontal="center" vertical="center"/>
      <protection locked="0"/>
    </xf>
    <xf numFmtId="164" fontId="5" fillId="3" borderId="51" xfId="1" applyNumberFormat="1" applyFont="1" applyFill="1" applyBorder="1" applyAlignment="1" applyProtection="1">
      <alignment horizontal="center" vertical="center"/>
      <protection locked="0"/>
    </xf>
    <xf numFmtId="164" fontId="5" fillId="3" borderId="30" xfId="1" applyNumberFormat="1" applyFont="1" applyFill="1" applyBorder="1" applyAlignment="1" applyProtection="1">
      <alignment horizontal="center" vertical="center"/>
      <protection locked="0"/>
    </xf>
    <xf numFmtId="164" fontId="5" fillId="3" borderId="43" xfId="1" applyNumberFormat="1" applyFont="1" applyFill="1" applyBorder="1" applyAlignment="1" applyProtection="1">
      <alignment horizontal="center" vertical="center"/>
      <protection locked="0"/>
    </xf>
    <xf numFmtId="164" fontId="5" fillId="3" borderId="24" xfId="1" applyNumberFormat="1" applyFont="1" applyFill="1" applyBorder="1" applyAlignment="1" applyProtection="1">
      <alignment horizontal="center" vertical="center"/>
      <protection locked="0"/>
    </xf>
    <xf numFmtId="0" fontId="5" fillId="2" borderId="51" xfId="1" applyFont="1" applyFill="1" applyBorder="1" applyAlignment="1">
      <alignment horizontal="center" vertical="center"/>
    </xf>
    <xf numFmtId="165" fontId="5" fillId="6" borderId="36" xfId="1" applyNumberFormat="1" applyFont="1" applyFill="1" applyBorder="1" applyAlignment="1" applyProtection="1">
      <alignment horizontal="center" vertical="center"/>
      <protection locked="0"/>
    </xf>
    <xf numFmtId="165" fontId="5" fillId="4" borderId="36" xfId="1" applyNumberFormat="1" applyFont="1" applyFill="1" applyBorder="1" applyAlignment="1" applyProtection="1">
      <alignment horizontal="center" vertical="center"/>
      <protection locked="0"/>
    </xf>
    <xf numFmtId="165" fontId="5" fillId="6" borderId="44" xfId="1" applyNumberFormat="1" applyFont="1" applyFill="1" applyBorder="1" applyAlignment="1" applyProtection="1">
      <alignment horizontal="center" vertical="center"/>
      <protection locked="0"/>
    </xf>
    <xf numFmtId="165" fontId="5" fillId="4" borderId="27" xfId="1" applyNumberFormat="1" applyFont="1" applyFill="1" applyBorder="1" applyAlignment="1" applyProtection="1">
      <alignment horizontal="center" vertical="center"/>
      <protection locked="0"/>
    </xf>
    <xf numFmtId="0" fontId="27" fillId="4" borderId="0" xfId="0" applyFont="1" applyFill="1" applyBorder="1" applyProtection="1"/>
    <xf numFmtId="0" fontId="27" fillId="4" borderId="0" xfId="0" applyFont="1" applyFill="1" applyBorder="1" applyAlignment="1" applyProtection="1"/>
    <xf numFmtId="0" fontId="26" fillId="4" borderId="0" xfId="0" applyFont="1" applyFill="1" applyBorder="1" applyAlignment="1" applyProtection="1">
      <alignment horizontal="center" wrapText="1"/>
    </xf>
    <xf numFmtId="0" fontId="26" fillId="4" borderId="0" xfId="0" applyFont="1" applyFill="1" applyBorder="1" applyAlignment="1">
      <alignment horizontal="center" vertical="center"/>
    </xf>
    <xf numFmtId="13" fontId="26" fillId="4" borderId="0" xfId="0" applyNumberFormat="1" applyFont="1" applyFill="1" applyBorder="1" applyAlignment="1">
      <alignment horizontal="center" vertical="center"/>
    </xf>
    <xf numFmtId="165" fontId="26" fillId="4" borderId="0" xfId="0" quotePrefix="1" applyNumberFormat="1" applyFont="1" applyFill="1" applyBorder="1" applyAlignment="1">
      <alignment horizontal="center" vertical="center"/>
    </xf>
    <xf numFmtId="13" fontId="27" fillId="4" borderId="0" xfId="0" applyNumberFormat="1" applyFont="1" applyFill="1" applyBorder="1" applyAlignment="1">
      <alignment horizontal="center" vertical="center"/>
    </xf>
    <xf numFmtId="0" fontId="26" fillId="4" borderId="0" xfId="0" applyFont="1" applyFill="1" applyBorder="1" applyAlignment="1">
      <alignment horizontal="center" vertical="center" wrapText="1"/>
    </xf>
    <xf numFmtId="0" fontId="27" fillId="4" borderId="0" xfId="0" applyFont="1" applyFill="1" applyBorder="1" applyAlignment="1">
      <alignment horizontal="center" vertical="center"/>
    </xf>
    <xf numFmtId="0" fontId="27" fillId="4" borderId="0" xfId="0" applyFont="1" applyFill="1" applyBorder="1"/>
    <xf numFmtId="0" fontId="28" fillId="4" borderId="0" xfId="0" applyFont="1" applyFill="1" applyBorder="1" applyAlignment="1">
      <alignment horizontal="center" wrapText="1"/>
    </xf>
    <xf numFmtId="165" fontId="27" fillId="4" borderId="0" xfId="0" applyNumberFormat="1" applyFont="1" applyFill="1" applyBorder="1" applyAlignment="1">
      <alignment horizontal="center" vertical="center"/>
    </xf>
    <xf numFmtId="2" fontId="26" fillId="4" borderId="0" xfId="0" applyNumberFormat="1" applyFont="1" applyFill="1" applyBorder="1" applyAlignment="1">
      <alignment horizontal="center" vertical="center"/>
    </xf>
    <xf numFmtId="2" fontId="26" fillId="4" borderId="0" xfId="0" quotePrefix="1" applyNumberFormat="1" applyFont="1" applyFill="1" applyBorder="1" applyAlignment="1">
      <alignment horizontal="center" vertical="center"/>
    </xf>
    <xf numFmtId="2" fontId="27" fillId="4" borderId="0" xfId="0" applyNumberFormat="1" applyFont="1" applyFill="1" applyBorder="1" applyAlignment="1">
      <alignment horizontal="center" vertical="center"/>
    </xf>
    <xf numFmtId="0" fontId="29" fillId="4" borderId="0" xfId="0" applyFont="1" applyFill="1" applyBorder="1" applyAlignment="1">
      <alignment horizontal="left" vertical="center"/>
    </xf>
    <xf numFmtId="0" fontId="30" fillId="4" borderId="0" xfId="0" applyFont="1" applyFill="1" applyBorder="1" applyAlignment="1">
      <alignment horizontal="left" vertical="center"/>
    </xf>
    <xf numFmtId="0" fontId="30" fillId="4" borderId="0" xfId="0" applyFont="1" applyFill="1" applyBorder="1" applyAlignment="1" applyProtection="1">
      <alignment horizontal="left" vertical="center"/>
    </xf>
    <xf numFmtId="0" fontId="27" fillId="4" borderId="0" xfId="0" applyFont="1" applyFill="1" applyBorder="1" applyAlignment="1" applyProtection="1">
      <alignment horizontal="center" vertical="center"/>
    </xf>
    <xf numFmtId="0" fontId="27" fillId="4" borderId="0" xfId="0" applyFont="1" applyFill="1" applyBorder="1" applyAlignment="1" applyProtection="1">
      <alignment horizontal="right" vertical="center"/>
    </xf>
    <xf numFmtId="0" fontId="27" fillId="4" borderId="0" xfId="0" applyFont="1" applyFill="1" applyBorder="1" applyAlignment="1" applyProtection="1">
      <alignment vertical="top" wrapText="1"/>
    </xf>
    <xf numFmtId="165" fontId="27" fillId="4" borderId="0" xfId="0" applyNumberFormat="1" applyFont="1" applyFill="1" applyBorder="1" applyAlignment="1" applyProtection="1">
      <alignment horizontal="center" vertical="center"/>
    </xf>
    <xf numFmtId="0" fontId="26" fillId="4" borderId="0" xfId="0" applyFont="1" applyFill="1" applyBorder="1" applyAlignment="1">
      <alignment horizontal="center" wrapText="1"/>
    </xf>
    <xf numFmtId="164" fontId="27" fillId="4" borderId="0" xfId="0" applyNumberFormat="1" applyFont="1" applyFill="1" applyBorder="1" applyAlignment="1">
      <alignment horizontal="center" vertical="center"/>
    </xf>
    <xf numFmtId="164" fontId="26" fillId="4" borderId="0" xfId="0" applyNumberFormat="1" applyFont="1" applyFill="1" applyBorder="1" applyAlignment="1">
      <alignment horizontal="center" vertical="center"/>
    </xf>
    <xf numFmtId="0" fontId="26" fillId="4" borderId="0" xfId="0" applyFont="1" applyFill="1" applyBorder="1"/>
    <xf numFmtId="0" fontId="27" fillId="4" borderId="0" xfId="0" applyFont="1" applyFill="1" applyBorder="1" applyAlignment="1">
      <alignment horizontal="center"/>
    </xf>
    <xf numFmtId="0" fontId="26" fillId="4" borderId="0" xfId="0" applyFont="1" applyFill="1" applyBorder="1" applyAlignment="1">
      <alignment horizontal="center"/>
    </xf>
    <xf numFmtId="17" fontId="26" fillId="4" borderId="0" xfId="0" applyNumberFormat="1" applyFont="1" applyFill="1" applyBorder="1" applyAlignment="1">
      <alignment horizontal="left" vertical="center"/>
    </xf>
    <xf numFmtId="0" fontId="26" fillId="4" borderId="0" xfId="0" applyFont="1" applyFill="1" applyBorder="1" applyAlignment="1">
      <alignment horizontal="left" vertical="center"/>
    </xf>
    <xf numFmtId="0" fontId="27" fillId="4" borderId="0" xfId="0" applyFont="1" applyFill="1" applyBorder="1" applyAlignment="1">
      <alignment horizontal="left" vertical="center"/>
    </xf>
    <xf numFmtId="1" fontId="27" fillId="4" borderId="0" xfId="0" applyNumberFormat="1" applyFont="1" applyFill="1" applyBorder="1" applyAlignment="1">
      <alignment horizontal="center"/>
    </xf>
    <xf numFmtId="13" fontId="26" fillId="4" borderId="0" xfId="0" applyNumberFormat="1" applyFont="1" applyFill="1" applyBorder="1" applyAlignment="1">
      <alignment horizontal="center"/>
    </xf>
    <xf numFmtId="0" fontId="27" fillId="4" borderId="0" xfId="0" applyFont="1" applyFill="1" applyBorder="1" applyAlignment="1">
      <alignment wrapText="1"/>
    </xf>
    <xf numFmtId="13" fontId="27" fillId="4" borderId="0" xfId="0" applyNumberFormat="1" applyFont="1" applyFill="1" applyBorder="1" applyAlignment="1">
      <alignment horizontal="center"/>
    </xf>
    <xf numFmtId="2" fontId="27" fillId="4" borderId="0" xfId="0" applyNumberFormat="1" applyFont="1" applyFill="1" applyBorder="1" applyAlignment="1">
      <alignment horizontal="center"/>
    </xf>
    <xf numFmtId="0" fontId="27" fillId="4" borderId="0" xfId="0" applyFont="1" applyFill="1" applyBorder="1" applyAlignment="1">
      <alignment vertical="top"/>
    </xf>
    <xf numFmtId="0" fontId="26" fillId="4" borderId="0" xfId="0" applyFont="1" applyFill="1" applyBorder="1" applyAlignment="1">
      <alignment vertical="top"/>
    </xf>
    <xf numFmtId="0" fontId="27" fillId="4" borderId="0" xfId="0" applyNumberFormat="1" applyFont="1" applyFill="1" applyBorder="1" applyAlignment="1">
      <alignment horizontal="center"/>
    </xf>
    <xf numFmtId="2" fontId="27" fillId="4" borderId="0" xfId="0" applyNumberFormat="1" applyFont="1" applyFill="1" applyBorder="1" applyAlignment="1" applyProtection="1">
      <alignment horizontal="center" vertical="center"/>
    </xf>
    <xf numFmtId="13" fontId="26" fillId="4" borderId="0" xfId="0" applyNumberFormat="1" applyFont="1" applyFill="1" applyBorder="1" applyAlignment="1" applyProtection="1">
      <alignment vertical="center"/>
    </xf>
    <xf numFmtId="0" fontId="27" fillId="4" borderId="0" xfId="0" applyFont="1" applyFill="1" applyBorder="1" applyAlignment="1">
      <alignment horizontal="left"/>
    </xf>
    <xf numFmtId="13" fontId="27" fillId="4" borderId="0" xfId="0" applyNumberFormat="1" applyFont="1" applyFill="1" applyBorder="1" applyAlignment="1" applyProtection="1">
      <alignment horizontal="center" vertical="center"/>
    </xf>
    <xf numFmtId="2" fontId="26" fillId="4" borderId="0" xfId="0" applyNumberFormat="1" applyFont="1" applyFill="1" applyBorder="1" applyAlignment="1" applyProtection="1">
      <alignment horizontal="center" vertical="center"/>
    </xf>
    <xf numFmtId="13" fontId="26" fillId="4" borderId="0" xfId="0" applyNumberFormat="1" applyFont="1" applyFill="1" applyBorder="1" applyAlignment="1" applyProtection="1">
      <alignment horizontal="center" vertical="center"/>
    </xf>
    <xf numFmtId="0" fontId="5" fillId="11" borderId="8" xfId="1" applyFill="1" applyBorder="1" applyAlignment="1" applyProtection="1">
      <alignment horizontal="center" vertical="center"/>
      <protection locked="0"/>
    </xf>
    <xf numFmtId="0" fontId="5" fillId="11" borderId="52" xfId="1" applyFill="1" applyBorder="1" applyAlignment="1" applyProtection="1">
      <alignment horizontal="center" vertical="center"/>
      <protection locked="0"/>
    </xf>
    <xf numFmtId="0" fontId="5" fillId="11" borderId="9" xfId="1" applyFont="1" applyFill="1" applyBorder="1" applyAlignment="1" applyProtection="1">
      <alignment horizontal="center" vertical="center"/>
      <protection locked="0"/>
    </xf>
    <xf numFmtId="0" fontId="5" fillId="11" borderId="16" xfId="1" applyFill="1" applyBorder="1" applyAlignment="1" applyProtection="1">
      <alignment horizontal="center" vertical="center"/>
      <protection locked="0"/>
    </xf>
    <xf numFmtId="13" fontId="5" fillId="11" borderId="9" xfId="1" applyNumberFormat="1" applyFill="1" applyBorder="1" applyAlignment="1" applyProtection="1">
      <alignment horizontal="center" vertical="center"/>
      <protection locked="0"/>
    </xf>
    <xf numFmtId="0" fontId="5" fillId="11" borderId="8" xfId="1" applyFill="1" applyBorder="1" applyAlignment="1" applyProtection="1">
      <alignment horizontal="left" vertical="center"/>
      <protection hidden="1"/>
    </xf>
    <xf numFmtId="164" fontId="5" fillId="11" borderId="8" xfId="1" applyNumberFormat="1" applyFont="1" applyFill="1" applyBorder="1" applyAlignment="1" applyProtection="1">
      <alignment horizontal="center" vertical="center"/>
      <protection hidden="1"/>
    </xf>
    <xf numFmtId="164" fontId="5" fillId="11" borderId="14" xfId="1" applyNumberFormat="1" applyFont="1" applyFill="1" applyBorder="1" applyAlignment="1" applyProtection="1">
      <alignment horizontal="center" vertical="center"/>
      <protection hidden="1"/>
    </xf>
    <xf numFmtId="165" fontId="5" fillId="11" borderId="14" xfId="1" applyNumberFormat="1" applyFill="1" applyBorder="1" applyAlignment="1" applyProtection="1">
      <alignment horizontal="center" vertical="center"/>
      <protection hidden="1"/>
    </xf>
    <xf numFmtId="13" fontId="5" fillId="11" borderId="15" xfId="1" applyNumberFormat="1" applyFont="1" applyFill="1" applyBorder="1" applyAlignment="1" applyProtection="1">
      <alignment horizontal="center" vertical="center"/>
      <protection hidden="1"/>
    </xf>
    <xf numFmtId="164" fontId="5" fillId="11" borderId="52" xfId="1" applyNumberFormat="1" applyFont="1" applyFill="1" applyBorder="1" applyAlignment="1" applyProtection="1">
      <alignment horizontal="center" vertical="center"/>
      <protection hidden="1"/>
    </xf>
    <xf numFmtId="1" fontId="5" fillId="11" borderId="8" xfId="1" applyNumberFormat="1" applyFill="1" applyBorder="1" applyAlignment="1" applyProtection="1">
      <alignment horizontal="center" vertical="center"/>
      <protection hidden="1"/>
    </xf>
    <xf numFmtId="165" fontId="5" fillId="11" borderId="8" xfId="1" applyNumberFormat="1" applyFill="1" applyBorder="1" applyAlignment="1" applyProtection="1">
      <alignment horizontal="center" vertical="center"/>
      <protection hidden="1"/>
    </xf>
    <xf numFmtId="165" fontId="5" fillId="11" borderId="8" xfId="1" applyNumberFormat="1" applyFont="1" applyFill="1" applyBorder="1" applyAlignment="1" applyProtection="1">
      <alignment horizontal="center" vertical="center"/>
      <protection hidden="1"/>
    </xf>
    <xf numFmtId="165" fontId="5" fillId="11" borderId="9" xfId="1" applyNumberFormat="1" applyFont="1" applyFill="1" applyBorder="1" applyAlignment="1" applyProtection="1">
      <alignment horizontal="center" vertical="center"/>
      <protection hidden="1"/>
    </xf>
    <xf numFmtId="1" fontId="5" fillId="11" borderId="9" xfId="1" applyNumberFormat="1" applyFill="1" applyBorder="1" applyAlignment="1" applyProtection="1">
      <alignment horizontal="center" vertical="center"/>
      <protection hidden="1"/>
    </xf>
    <xf numFmtId="165" fontId="8" fillId="11" borderId="14" xfId="1" applyNumberFormat="1" applyFont="1" applyFill="1" applyBorder="1" applyAlignment="1" applyProtection="1">
      <alignment horizontal="center" vertical="center" wrapText="1"/>
      <protection hidden="1"/>
    </xf>
    <xf numFmtId="0" fontId="5" fillId="11" borderId="15" xfId="1" applyFont="1" applyFill="1" applyBorder="1" applyAlignment="1" applyProtection="1">
      <alignment horizontal="left" vertical="center"/>
      <protection hidden="1"/>
    </xf>
    <xf numFmtId="0" fontId="5" fillId="11" borderId="8" xfId="1" applyFont="1" applyFill="1" applyBorder="1" applyAlignment="1" applyProtection="1">
      <alignment horizontal="center" vertical="center"/>
      <protection hidden="1"/>
    </xf>
    <xf numFmtId="13" fontId="5" fillId="11" borderId="8" xfId="1" applyNumberFormat="1" applyFont="1" applyFill="1" applyBorder="1" applyAlignment="1" applyProtection="1">
      <alignment horizontal="center" vertical="center"/>
      <protection hidden="1"/>
    </xf>
    <xf numFmtId="164" fontId="5" fillId="11" borderId="9" xfId="1" applyNumberFormat="1" applyFont="1" applyFill="1" applyBorder="1" applyAlignment="1" applyProtection="1">
      <alignment horizontal="center" vertical="center"/>
      <protection hidden="1"/>
    </xf>
    <xf numFmtId="165" fontId="8" fillId="11" borderId="14" xfId="1" applyNumberFormat="1" applyFont="1" applyFill="1" applyBorder="1" applyAlignment="1" applyProtection="1">
      <alignment horizontal="center" vertical="center"/>
      <protection hidden="1"/>
    </xf>
    <xf numFmtId="0" fontId="13" fillId="6" borderId="59" xfId="0" applyFont="1" applyFill="1" applyBorder="1" applyAlignment="1" applyProtection="1">
      <alignment horizontal="center" vertical="top" wrapText="1"/>
    </xf>
    <xf numFmtId="0" fontId="13" fillId="6" borderId="0" xfId="0" applyFont="1" applyFill="1" applyAlignment="1" applyProtection="1">
      <alignment horizontal="center" vertical="top" wrapText="1"/>
    </xf>
    <xf numFmtId="0" fontId="5" fillId="7" borderId="5" xfId="0" applyFont="1" applyFill="1" applyBorder="1" applyAlignment="1">
      <alignment horizontal="center" wrapText="1"/>
    </xf>
    <xf numFmtId="0" fontId="5" fillId="7" borderId="58" xfId="0" applyFont="1" applyFill="1" applyBorder="1" applyAlignment="1">
      <alignment horizontal="center" wrapText="1"/>
    </xf>
    <xf numFmtId="0" fontId="5" fillId="7" borderId="3" xfId="0" applyFont="1" applyFill="1" applyBorder="1" applyAlignment="1">
      <alignment horizontal="center" wrapText="1"/>
    </xf>
    <xf numFmtId="0" fontId="5" fillId="7" borderId="26" xfId="0" applyFont="1" applyFill="1" applyBorder="1" applyAlignment="1">
      <alignment horizontal="center" wrapText="1"/>
    </xf>
    <xf numFmtId="165" fontId="31" fillId="12" borderId="60" xfId="0" applyNumberFormat="1" applyFont="1" applyFill="1" applyBorder="1" applyAlignment="1" applyProtection="1">
      <alignment horizontal="center"/>
    </xf>
    <xf numFmtId="0" fontId="26" fillId="4" borderId="0" xfId="0" applyFont="1" applyFill="1" applyBorder="1" applyAlignment="1" applyProtection="1">
      <alignment horizontal="right" vertical="center" wrapText="1"/>
    </xf>
    <xf numFmtId="164" fontId="0" fillId="8" borderId="60" xfId="0" applyNumberFormat="1" applyFill="1" applyBorder="1" applyAlignment="1" applyProtection="1">
      <alignment horizontal="center"/>
      <protection locked="0"/>
    </xf>
    <xf numFmtId="0" fontId="24" fillId="7" borderId="17" xfId="0" applyFont="1" applyFill="1" applyBorder="1" applyAlignment="1">
      <alignment horizontal="left" vertical="top"/>
    </xf>
    <xf numFmtId="0" fontId="24" fillId="7" borderId="5" xfId="0" applyFont="1" applyFill="1" applyBorder="1" applyAlignment="1">
      <alignment horizontal="left" vertical="top"/>
    </xf>
    <xf numFmtId="0" fontId="24" fillId="7" borderId="6" xfId="0" applyFont="1" applyFill="1" applyBorder="1" applyAlignment="1">
      <alignment horizontal="left" vertical="top"/>
    </xf>
    <xf numFmtId="0" fontId="13" fillId="6" borderId="0" xfId="0" applyFont="1" applyFill="1" applyAlignment="1" applyProtection="1">
      <alignment horizontal="left" vertical="top" wrapText="1"/>
    </xf>
    <xf numFmtId="0" fontId="13" fillId="6" borderId="58" xfId="0" applyFont="1" applyFill="1" applyBorder="1" applyAlignment="1" applyProtection="1">
      <alignment horizontal="left" vertical="top" wrapText="1"/>
    </xf>
    <xf numFmtId="165" fontId="13" fillId="6" borderId="55" xfId="0" applyNumberFormat="1" applyFont="1" applyFill="1" applyBorder="1" applyAlignment="1" applyProtection="1">
      <alignment horizontal="left" vertical="center" wrapText="1"/>
    </xf>
    <xf numFmtId="165" fontId="13" fillId="6" borderId="0" xfId="0" applyNumberFormat="1" applyFont="1" applyFill="1" applyBorder="1" applyAlignment="1" applyProtection="1">
      <alignment horizontal="left" vertical="center" wrapText="1"/>
    </xf>
    <xf numFmtId="165" fontId="13" fillId="6" borderId="5" xfId="0" applyNumberFormat="1" applyFont="1" applyFill="1" applyBorder="1" applyAlignment="1" applyProtection="1">
      <alignment horizontal="right" vertical="top" wrapText="1"/>
    </xf>
    <xf numFmtId="0" fontId="0" fillId="0" borderId="5" xfId="0" applyBorder="1"/>
    <xf numFmtId="0" fontId="0" fillId="0" borderId="0" xfId="0"/>
    <xf numFmtId="1" fontId="10" fillId="7" borderId="53" xfId="0" applyNumberFormat="1" applyFont="1" applyFill="1" applyBorder="1" applyAlignment="1">
      <alignment horizontal="center" vertical="center"/>
    </xf>
    <xf numFmtId="1" fontId="10" fillId="7" borderId="56" xfId="0" applyNumberFormat="1" applyFont="1" applyFill="1" applyBorder="1" applyAlignment="1">
      <alignment horizontal="center" vertical="center"/>
    </xf>
    <xf numFmtId="0" fontId="5" fillId="7" borderId="2" xfId="0" applyFont="1" applyFill="1" applyBorder="1" applyAlignment="1">
      <alignment horizontal="center" wrapText="1"/>
    </xf>
    <xf numFmtId="0" fontId="5" fillId="7" borderId="47" xfId="0" applyFont="1" applyFill="1" applyBorder="1" applyAlignment="1">
      <alignment horizontal="center" wrapText="1"/>
    </xf>
    <xf numFmtId="0" fontId="5" fillId="7" borderId="6" xfId="0" applyFont="1" applyFill="1" applyBorder="1" applyAlignment="1">
      <alignment horizontal="center" wrapText="1"/>
    </xf>
    <xf numFmtId="0" fontId="5" fillId="7" borderId="57" xfId="0" applyFont="1" applyFill="1" applyBorder="1" applyAlignment="1">
      <alignment horizontal="center" wrapText="1"/>
    </xf>
    <xf numFmtId="0" fontId="5" fillId="7" borderId="69" xfId="0" applyFont="1" applyFill="1" applyBorder="1" applyAlignment="1">
      <alignment horizontal="center" wrapText="1"/>
    </xf>
    <xf numFmtId="0" fontId="5" fillId="7" borderId="0" xfId="0" applyFont="1" applyFill="1" applyBorder="1" applyAlignment="1">
      <alignment horizontal="center" wrapText="1"/>
    </xf>
    <xf numFmtId="0" fontId="12" fillId="4" borderId="0" xfId="0" applyFont="1" applyFill="1" applyBorder="1" applyAlignment="1" applyProtection="1">
      <alignment horizontal="center" vertical="center"/>
    </xf>
    <xf numFmtId="0" fontId="5" fillId="0" borderId="0" xfId="0" applyFont="1" applyBorder="1" applyAlignment="1" applyProtection="1">
      <alignment horizontal="center" vertical="center" wrapText="1"/>
    </xf>
    <xf numFmtId="164" fontId="0" fillId="8" borderId="49" xfId="0" applyNumberFormat="1" applyFill="1" applyBorder="1" applyAlignment="1" applyProtection="1">
      <alignment horizontal="center"/>
      <protection locked="0"/>
    </xf>
    <xf numFmtId="0" fontId="5" fillId="13" borderId="53" xfId="0" applyFont="1" applyFill="1" applyBorder="1" applyAlignment="1">
      <alignment horizontal="center" vertical="center" wrapText="1"/>
    </xf>
    <xf numFmtId="0" fontId="5" fillId="13" borderId="54" xfId="0" applyFont="1" applyFill="1" applyBorder="1" applyAlignment="1">
      <alignment horizontal="center" vertical="center" wrapText="1"/>
    </xf>
    <xf numFmtId="0" fontId="27" fillId="4" borderId="0" xfId="0" applyFont="1" applyFill="1" applyBorder="1" applyAlignment="1">
      <alignment horizontal="center" vertical="center"/>
    </xf>
    <xf numFmtId="165" fontId="31" fillId="12" borderId="49" xfId="0" applyNumberFormat="1" applyFont="1" applyFill="1" applyBorder="1" applyAlignment="1" applyProtection="1">
      <alignment horizontal="center"/>
    </xf>
    <xf numFmtId="0" fontId="18" fillId="0" borderId="0" xfId="0" applyFont="1" applyBorder="1" applyAlignment="1">
      <alignment horizontal="left" vertical="top" wrapText="1"/>
    </xf>
    <xf numFmtId="0" fontId="13" fillId="14" borderId="53" xfId="1" applyFont="1" applyFill="1" applyBorder="1" applyAlignment="1">
      <alignment horizontal="center" vertical="center" wrapText="1"/>
    </xf>
    <xf numFmtId="0" fontId="13" fillId="14" borderId="52" xfId="1" applyFont="1" applyFill="1" applyBorder="1" applyAlignment="1">
      <alignment horizontal="center" vertical="center" wrapText="1"/>
    </xf>
    <xf numFmtId="0" fontId="9" fillId="2" borderId="53" xfId="1" applyFont="1" applyFill="1" applyBorder="1" applyAlignment="1">
      <alignment horizontal="left" vertical="center" wrapText="1"/>
    </xf>
    <xf numFmtId="0" fontId="9" fillId="2" borderId="56" xfId="1" applyFont="1" applyFill="1" applyBorder="1" applyAlignment="1">
      <alignment horizontal="left" vertical="center" wrapText="1"/>
    </xf>
    <xf numFmtId="0" fontId="9" fillId="2" borderId="54" xfId="1" applyFont="1" applyFill="1" applyBorder="1" applyAlignment="1">
      <alignment horizontal="left" vertical="center" wrapText="1"/>
    </xf>
    <xf numFmtId="164" fontId="5" fillId="2" borderId="63" xfId="1" applyNumberFormat="1" applyFill="1" applyBorder="1" applyAlignment="1">
      <alignment horizontal="center" vertical="center" wrapText="1"/>
    </xf>
    <xf numFmtId="164" fontId="5" fillId="0" borderId="50" xfId="1" applyNumberFormat="1" applyBorder="1" applyAlignment="1">
      <alignment horizontal="center" vertical="center"/>
    </xf>
    <xf numFmtId="165" fontId="5" fillId="2" borderId="63" xfId="1" applyNumberFormat="1" applyFont="1" applyFill="1" applyBorder="1" applyAlignment="1">
      <alignment horizontal="center" vertical="center" wrapText="1"/>
    </xf>
    <xf numFmtId="165" fontId="5" fillId="0" borderId="50" xfId="1" applyNumberFormat="1" applyBorder="1" applyAlignment="1">
      <alignment horizontal="center" vertical="center"/>
    </xf>
    <xf numFmtId="0" fontId="5" fillId="2" borderId="64" xfId="1" applyFont="1" applyFill="1" applyBorder="1" applyAlignment="1">
      <alignment horizontal="center" vertical="center"/>
    </xf>
    <xf numFmtId="0" fontId="5" fillId="2" borderId="65" xfId="1" applyFont="1" applyFill="1" applyBorder="1" applyAlignment="1">
      <alignment horizontal="center" vertical="center"/>
    </xf>
    <xf numFmtId="0" fontId="5" fillId="0" borderId="65" xfId="1" applyBorder="1" applyAlignment="1">
      <alignment vertical="center"/>
    </xf>
    <xf numFmtId="0" fontId="5" fillId="0" borderId="66" xfId="1" applyBorder="1" applyAlignment="1">
      <alignment vertical="center"/>
    </xf>
    <xf numFmtId="165" fontId="5" fillId="2" borderId="50" xfId="1" applyNumberFormat="1" applyFill="1" applyBorder="1" applyAlignment="1">
      <alignment horizontal="center" vertical="center" wrapText="1"/>
    </xf>
    <xf numFmtId="0" fontId="5" fillId="15" borderId="67" xfId="1" applyFont="1" applyFill="1" applyBorder="1" applyAlignment="1">
      <alignment horizontal="center" vertical="center"/>
    </xf>
    <xf numFmtId="0" fontId="5" fillId="15" borderId="65" xfId="1" applyFill="1" applyBorder="1" applyAlignment="1">
      <alignment horizontal="center" vertical="center"/>
    </xf>
    <xf numFmtId="0" fontId="5" fillId="15" borderId="66" xfId="1" applyFill="1" applyBorder="1" applyAlignment="1">
      <alignment horizontal="center" vertical="center"/>
    </xf>
    <xf numFmtId="0" fontId="5" fillId="2" borderId="61" xfId="1" applyFont="1" applyFill="1" applyBorder="1" applyAlignment="1">
      <alignment horizontal="center" wrapText="1"/>
    </xf>
    <xf numFmtId="0" fontId="5" fillId="0" borderId="27" xfId="1" applyBorder="1" applyAlignment="1">
      <alignment horizontal="center" wrapText="1"/>
    </xf>
    <xf numFmtId="0" fontId="5" fillId="2" borderId="18" xfId="1" applyFont="1" applyFill="1" applyBorder="1" applyAlignment="1">
      <alignment horizontal="center" vertical="center" wrapText="1"/>
    </xf>
    <xf numFmtId="0" fontId="5" fillId="0" borderId="26" xfId="1" applyBorder="1" applyAlignment="1">
      <alignment horizontal="center" vertical="center" wrapText="1"/>
    </xf>
    <xf numFmtId="13" fontId="5" fillId="2" borderId="18" xfId="1" applyNumberFormat="1" applyFont="1" applyFill="1" applyBorder="1" applyAlignment="1">
      <alignment horizontal="center" vertical="center" wrapText="1"/>
    </xf>
    <xf numFmtId="13" fontId="5" fillId="0" borderId="26" xfId="1" applyNumberFormat="1" applyBorder="1" applyAlignment="1">
      <alignment horizontal="center" vertical="center" wrapText="1"/>
    </xf>
    <xf numFmtId="13" fontId="5" fillId="2" borderId="61" xfId="1" applyNumberFormat="1" applyFont="1" applyFill="1" applyBorder="1" applyAlignment="1">
      <alignment horizontal="center" wrapText="1"/>
    </xf>
    <xf numFmtId="13" fontId="5" fillId="2" borderId="62" xfId="1" applyNumberFormat="1" applyFont="1" applyFill="1" applyBorder="1" applyAlignment="1">
      <alignment horizontal="center" wrapText="1"/>
    </xf>
    <xf numFmtId="13" fontId="5" fillId="2" borderId="27" xfId="1" applyNumberFormat="1" applyFont="1" applyFill="1" applyBorder="1" applyAlignment="1">
      <alignment horizontal="center" wrapText="1"/>
    </xf>
    <xf numFmtId="13" fontId="5" fillId="2" borderId="48" xfId="1" applyNumberFormat="1" applyFont="1" applyFill="1" applyBorder="1" applyAlignment="1">
      <alignment horizontal="center" wrapText="1"/>
    </xf>
    <xf numFmtId="164" fontId="5" fillId="2" borderId="18" xfId="1" applyNumberFormat="1" applyFont="1" applyFill="1" applyBorder="1" applyAlignment="1">
      <alignment horizontal="center" vertical="center" wrapText="1"/>
    </xf>
    <xf numFmtId="164" fontId="5" fillId="0" borderId="26" xfId="1" applyNumberFormat="1" applyBorder="1" applyAlignment="1">
      <alignment horizontal="center" vertical="center" wrapText="1"/>
    </xf>
    <xf numFmtId="13" fontId="5" fillId="2" borderId="61" xfId="1" applyNumberFormat="1" applyFont="1" applyFill="1" applyBorder="1" applyAlignment="1">
      <alignment horizontal="center" vertical="center" wrapText="1"/>
    </xf>
    <xf numFmtId="13" fontId="5" fillId="0" borderId="27" xfId="1" applyNumberFormat="1" applyBorder="1" applyAlignment="1">
      <alignment horizontal="center" vertical="center" wrapText="1"/>
    </xf>
    <xf numFmtId="165" fontId="5" fillId="0" borderId="50" xfId="1" applyNumberFormat="1" applyBorder="1" applyAlignment="1">
      <alignment horizontal="center" vertical="center" wrapText="1"/>
    </xf>
  </cellXfs>
  <cellStyles count="2">
    <cellStyle name="Normal 2" xfId="1"/>
    <cellStyle name="Обычный" xfId="0" builtinId="0"/>
  </cellStyles>
  <dxfs count="8">
    <dxf>
      <font>
        <b/>
        <i val="0"/>
        <color rgb="FFFF0000"/>
      </font>
    </dxf>
    <dxf>
      <font>
        <b/>
        <i val="0"/>
        <color rgb="FFC00000"/>
      </font>
    </dxf>
    <dxf>
      <font>
        <color theme="4" tint="0.79998168889431442"/>
      </font>
      <fill>
        <patternFill patternType="solid">
          <bgColor theme="4" tint="0.79998168889431442"/>
        </patternFill>
      </fill>
    </dxf>
    <dxf>
      <font>
        <color theme="4" tint="0.79995117038483843"/>
      </font>
      <fill>
        <patternFill patternType="gray0625">
          <bgColor theme="4" tint="0.79989013336588644"/>
        </patternFill>
      </fill>
    </dxf>
    <dxf>
      <font>
        <color auto="1"/>
      </font>
      <fill>
        <patternFill>
          <bgColor theme="4" tint="0.79998168889431442"/>
        </patternFill>
      </fill>
    </dxf>
    <dxf>
      <font>
        <color theme="4" tint="0.79998168889431442"/>
      </font>
      <fill>
        <patternFill>
          <bgColor theme="4" tint="0.79998168889431442"/>
        </patternFill>
      </fill>
    </dxf>
    <dxf>
      <font>
        <color auto="1"/>
      </font>
      <fill>
        <patternFill>
          <bgColor theme="4" tint="0.79998168889431442"/>
        </patternFill>
      </fill>
    </dxf>
    <dxf>
      <font>
        <b/>
        <i val="0"/>
        <color rgb="FFC0000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66675</xdr:colOff>
      <xdr:row>3</xdr:row>
      <xdr:rowOff>573384</xdr:rowOff>
    </xdr:from>
    <xdr:to>
      <xdr:col>2</xdr:col>
      <xdr:colOff>1927</xdr:colOff>
      <xdr:row>7</xdr:row>
      <xdr:rowOff>133157</xdr:rowOff>
    </xdr:to>
    <xdr:grpSp>
      <xdr:nvGrpSpPr>
        <xdr:cNvPr id="72" name="Group 65">
          <a:extLst>
            <a:ext uri="{FF2B5EF4-FFF2-40B4-BE49-F238E27FC236}">
              <a16:creationId xmlns:a16="http://schemas.microsoft.com/office/drawing/2014/main" xmlns="" id="{EDE39C06-F716-460E-965F-AF71BCCDF662}"/>
            </a:ext>
          </a:extLst>
        </xdr:cNvPr>
        <xdr:cNvGrpSpPr>
          <a:grpSpLocks/>
        </xdr:cNvGrpSpPr>
      </xdr:nvGrpSpPr>
      <xdr:grpSpPr bwMode="auto">
        <a:xfrm>
          <a:off x="411580" y="2009152"/>
          <a:ext cx="1034136" cy="1268258"/>
          <a:chOff x="1" y="1636384"/>
          <a:chExt cx="984548" cy="1279329"/>
        </a:xfrm>
        <a:noFill/>
      </xdr:grpSpPr>
      <xdr:sp macro="" textlink="">
        <xdr:nvSpPr>
          <xdr:cNvPr id="20" name="TextBox 19">
            <a:extLst>
              <a:ext uri="{FF2B5EF4-FFF2-40B4-BE49-F238E27FC236}">
                <a16:creationId xmlns:a16="http://schemas.microsoft.com/office/drawing/2014/main" xmlns="" id="{839324A1-12A7-4034-806A-AA414A62627D}"/>
              </a:ext>
            </a:extLst>
          </xdr:cNvPr>
          <xdr:cNvSpPr txBox="1"/>
        </xdr:nvSpPr>
        <xdr:spPr bwMode="auto">
          <a:xfrm>
            <a:off x="2474" y="1554250"/>
            <a:ext cx="902037" cy="640195"/>
          </a:xfrm>
          <a:prstGeom prst="rect">
            <a:avLst/>
          </a:prstGeom>
          <a:grpFill/>
        </xdr:spPr>
        <xdr:style>
          <a:lnRef idx="0">
            <a:scrgbClr r="0" g="0" b="0"/>
          </a:lnRef>
          <a:fillRef idx="0">
            <a:scrgbClr r="0" g="0" b="0"/>
          </a:fillRef>
          <a:effectRef idx="0">
            <a:scrgbClr r="0" g="0" b="0"/>
          </a:effectRef>
          <a:fontRef idx="minor">
            <a:schemeClr val="tx1"/>
          </a:fontRef>
        </xdr:style>
        <xdr:txBody>
          <a:bodyPr wrap="square" rtlCol="0" anchor="ctr">
            <a:noAutofit/>
          </a:bodyPr>
          <a:lstStyle/>
          <a:p>
            <a:pPr algn="ctr">
              <a:lnSpc>
                <a:spcPts val="800"/>
              </a:lnSpc>
            </a:pPr>
            <a:r>
              <a:rPr lang="en-US" sz="800">
                <a:latin typeface="Arial" pitchFamily="34" charset="0"/>
                <a:cs typeface="Arial" pitchFamily="34" charset="0"/>
              </a:rPr>
              <a:t>If "Wood Shaft" or "Other" is selected then enter info here</a:t>
            </a:r>
          </a:p>
        </xdr:txBody>
      </xdr:sp>
      <xdr:cxnSp macro="">
        <xdr:nvCxnSpPr>
          <xdr:cNvPr id="21" name="Straight Connector 20">
            <a:extLst>
              <a:ext uri="{FF2B5EF4-FFF2-40B4-BE49-F238E27FC236}">
                <a16:creationId xmlns:a16="http://schemas.microsoft.com/office/drawing/2014/main" xmlns="" id="{27AA3938-6CB4-4BAB-8078-F9A86A2AD2C1}"/>
              </a:ext>
            </a:extLst>
          </xdr:cNvPr>
          <xdr:cNvCxnSpPr/>
        </xdr:nvCxnSpPr>
        <xdr:spPr bwMode="auto">
          <a:xfrm flipV="1">
            <a:off x="772964" y="1855518"/>
            <a:ext cx="169132" cy="0"/>
          </a:xfrm>
          <a:prstGeom prst="line">
            <a:avLst/>
          </a:prstGeom>
          <a:grpFill/>
          <a:ln w="127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3" name="Straight Arrow Connector 22">
            <a:extLst>
              <a:ext uri="{FF2B5EF4-FFF2-40B4-BE49-F238E27FC236}">
                <a16:creationId xmlns:a16="http://schemas.microsoft.com/office/drawing/2014/main" xmlns="" id="{0F581F41-7042-4AF8-8C50-7F4153505432}"/>
              </a:ext>
            </a:extLst>
          </xdr:cNvPr>
          <xdr:cNvCxnSpPr/>
        </xdr:nvCxnSpPr>
        <xdr:spPr bwMode="auto">
          <a:xfrm>
            <a:off x="472285" y="2401567"/>
            <a:ext cx="413434" cy="0"/>
          </a:xfrm>
          <a:prstGeom prst="straightConnector1">
            <a:avLst/>
          </a:prstGeom>
          <a:grpFill/>
          <a:ln w="127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xnSp macro="">
        <xdr:nvCxnSpPr>
          <xdr:cNvPr id="42" name="Straight Arrow Connector 41">
            <a:extLst>
              <a:ext uri="{FF2B5EF4-FFF2-40B4-BE49-F238E27FC236}">
                <a16:creationId xmlns:a16="http://schemas.microsoft.com/office/drawing/2014/main" xmlns="" id="{CFB4CC97-9E48-46D3-AE27-FF8E799D6D8F}"/>
              </a:ext>
            </a:extLst>
          </xdr:cNvPr>
          <xdr:cNvCxnSpPr/>
        </xdr:nvCxnSpPr>
        <xdr:spPr bwMode="auto">
          <a:xfrm>
            <a:off x="472285" y="2646348"/>
            <a:ext cx="413434" cy="0"/>
          </a:xfrm>
          <a:prstGeom prst="straightConnector1">
            <a:avLst/>
          </a:prstGeom>
          <a:grpFill/>
          <a:ln w="127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xnSp macro="">
        <xdr:nvCxnSpPr>
          <xdr:cNvPr id="63" name="Straight Arrow Connector 62">
            <a:extLst>
              <a:ext uri="{FF2B5EF4-FFF2-40B4-BE49-F238E27FC236}">
                <a16:creationId xmlns:a16="http://schemas.microsoft.com/office/drawing/2014/main" xmlns="" id="{886523C2-5149-4D9D-80BA-DA53C26851A4}"/>
              </a:ext>
            </a:extLst>
          </xdr:cNvPr>
          <xdr:cNvCxnSpPr/>
        </xdr:nvCxnSpPr>
        <xdr:spPr bwMode="auto">
          <a:xfrm>
            <a:off x="472285" y="2844055"/>
            <a:ext cx="413434" cy="0"/>
          </a:xfrm>
          <a:prstGeom prst="straightConnector1">
            <a:avLst/>
          </a:prstGeom>
          <a:grpFill/>
          <a:ln w="127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xnSp macro="">
        <xdr:nvCxnSpPr>
          <xdr:cNvPr id="65" name="Straight Connector 64">
            <a:extLst>
              <a:ext uri="{FF2B5EF4-FFF2-40B4-BE49-F238E27FC236}">
                <a16:creationId xmlns:a16="http://schemas.microsoft.com/office/drawing/2014/main" xmlns="" id="{2372174B-B8E3-4542-8A7B-06AD87FF3A02}"/>
              </a:ext>
            </a:extLst>
          </xdr:cNvPr>
          <xdr:cNvCxnSpPr/>
        </xdr:nvCxnSpPr>
        <xdr:spPr>
          <a:xfrm rot="16200000" flipH="1">
            <a:off x="128660" y="2500429"/>
            <a:ext cx="677854" cy="9396"/>
          </a:xfrm>
          <a:prstGeom prst="line">
            <a:avLst/>
          </a:prstGeom>
          <a:grpFill/>
        </xdr:spPr>
        <xdr:style>
          <a:lnRef idx="1">
            <a:schemeClr val="dk1"/>
          </a:lnRef>
          <a:fillRef idx="0">
            <a:schemeClr val="dk1"/>
          </a:fillRef>
          <a:effectRef idx="0">
            <a:schemeClr val="dk1"/>
          </a:effectRef>
          <a:fontRef idx="minor">
            <a:schemeClr val="tx1"/>
          </a:fontRef>
        </xdr:style>
      </xdr:cxnSp>
    </xdr:grpSp>
    <xdr:clientData/>
  </xdr:twoCellAnchor>
  <xdr:twoCellAnchor>
    <xdr:from>
      <xdr:col>9</xdr:col>
      <xdr:colOff>352425</xdr:colOff>
      <xdr:row>5</xdr:row>
      <xdr:rowOff>114300</xdr:rowOff>
    </xdr:from>
    <xdr:to>
      <xdr:col>16</xdr:col>
      <xdr:colOff>249010</xdr:colOff>
      <xdr:row>12</xdr:row>
      <xdr:rowOff>0</xdr:rowOff>
    </xdr:to>
    <xdr:sp macro="" textlink="">
      <xdr:nvSpPr>
        <xdr:cNvPr id="40" name="TextBox 39">
          <a:extLst>
            <a:ext uri="{FF2B5EF4-FFF2-40B4-BE49-F238E27FC236}">
              <a16:creationId xmlns:a16="http://schemas.microsoft.com/office/drawing/2014/main" xmlns="" id="{A4C776E7-4CC2-4491-AA83-2BD4380EFC5E}"/>
            </a:ext>
            <a:ext uri="{147F2762-F138-4A5C-976F-8EAC2B608ADB}">
              <a16:predDERef xmlns:a16="http://schemas.microsoft.com/office/drawing/2014/main" xmlns="" pred="{EDE39C06-F716-460E-965F-AF71BCCDF662}"/>
            </a:ext>
          </a:extLst>
        </xdr:cNvPr>
        <xdr:cNvSpPr txBox="1"/>
      </xdr:nvSpPr>
      <xdr:spPr bwMode="auto">
        <a:xfrm>
          <a:off x="6998154" y="2797629"/>
          <a:ext cx="3706585" cy="171450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noAutofit/>
        </a:bodyPr>
        <a:lstStyle/>
        <a:p>
          <a:pPr algn="l"/>
          <a:r>
            <a:rPr lang="en-US" sz="1200"/>
            <a:t>These two numbers should be</a:t>
          </a:r>
          <a:r>
            <a:rPr lang="en-US" sz="1200" baseline="0"/>
            <a:t> nearly equal (within 2#).  </a:t>
          </a:r>
        </a:p>
        <a:p>
          <a:pPr algn="l"/>
          <a:r>
            <a:rPr lang="en-US" sz="1200" baseline="0"/>
            <a:t>Fine tuning can then be done by adjusting the bow's brace height.</a:t>
          </a:r>
        </a:p>
        <a:p>
          <a:pPr algn="l"/>
          <a:endParaRPr lang="en-US" sz="800" baseline="0"/>
        </a:p>
        <a:p>
          <a:pPr lvl="0"/>
          <a:r>
            <a:rPr lang="en-US" sz="1100">
              <a:solidFill>
                <a:schemeClr val="tx1"/>
              </a:solidFill>
              <a:latin typeface="+mn-lt"/>
              <a:ea typeface="+mn-ea"/>
              <a:cs typeface="+mn-cs"/>
            </a:rPr>
            <a:t>     </a:t>
          </a:r>
          <a:r>
            <a:rPr lang="en-US" sz="1100">
              <a:solidFill>
                <a:schemeClr val="tx1"/>
              </a:solidFill>
              <a:latin typeface="+mn-lt"/>
              <a:ea typeface="+mn-ea"/>
              <a:cs typeface="Arial"/>
            </a:rPr>
            <a:t>•</a:t>
          </a:r>
          <a:r>
            <a:rPr lang="en-US" sz="1100" baseline="0">
              <a:solidFill>
                <a:schemeClr val="tx1"/>
              </a:solidFill>
              <a:latin typeface="+mn-lt"/>
              <a:ea typeface="+mn-ea"/>
              <a:cs typeface="+mn-cs"/>
            </a:rPr>
            <a:t>    </a:t>
          </a:r>
          <a:r>
            <a:rPr lang="en-US" sz="1100">
              <a:solidFill>
                <a:schemeClr val="tx1"/>
              </a:solidFill>
              <a:latin typeface="+mn-lt"/>
              <a:ea typeface="+mn-ea"/>
              <a:cs typeface="+mn-cs"/>
            </a:rPr>
            <a:t>If the arrow is slightly weak (lower dynamic spine) for     </a:t>
          </a:r>
        </a:p>
        <a:p>
          <a:pPr lvl="0"/>
          <a:r>
            <a:rPr lang="en-US" sz="1100">
              <a:solidFill>
                <a:schemeClr val="tx1"/>
              </a:solidFill>
              <a:latin typeface="+mn-lt"/>
              <a:ea typeface="+mn-ea"/>
              <a:cs typeface="+mn-cs"/>
            </a:rPr>
            <a:t>           what the bow needs, then </a:t>
          </a:r>
          <a:r>
            <a:rPr lang="en-US" sz="1100" u="sng">
              <a:solidFill>
                <a:schemeClr val="tx1"/>
              </a:solidFill>
              <a:latin typeface="+mn-lt"/>
              <a:ea typeface="+mn-ea"/>
              <a:cs typeface="+mn-cs"/>
            </a:rPr>
            <a:t>lower</a:t>
          </a:r>
          <a:r>
            <a:rPr lang="en-US" sz="1100">
              <a:solidFill>
                <a:schemeClr val="tx1"/>
              </a:solidFill>
              <a:latin typeface="+mn-lt"/>
              <a:ea typeface="+mn-ea"/>
              <a:cs typeface="+mn-cs"/>
            </a:rPr>
            <a:t> the brace height.</a:t>
          </a:r>
        </a:p>
        <a:p>
          <a:pPr lvl="0"/>
          <a:endParaRPr lang="en-US" sz="200"/>
        </a:p>
        <a:p>
          <a:pPr lvl="0"/>
          <a:r>
            <a:rPr lang="en-US" sz="1100">
              <a:solidFill>
                <a:schemeClr val="tx1"/>
              </a:solidFill>
              <a:latin typeface="+mn-lt"/>
              <a:ea typeface="+mn-ea"/>
              <a:cs typeface="+mn-cs"/>
            </a:rPr>
            <a:t>     •    If the arrow is slightly stiff (higher dynamic spine) for    </a:t>
          </a:r>
        </a:p>
        <a:p>
          <a:pPr lvl="0"/>
          <a:r>
            <a:rPr lang="en-US" sz="1100">
              <a:solidFill>
                <a:schemeClr val="tx1"/>
              </a:solidFill>
              <a:latin typeface="+mn-lt"/>
              <a:ea typeface="+mn-ea"/>
              <a:cs typeface="+mn-cs"/>
            </a:rPr>
            <a:t>           what the bow needs, then </a:t>
          </a:r>
          <a:r>
            <a:rPr lang="en-US" sz="1100" u="sng">
              <a:solidFill>
                <a:schemeClr val="tx1"/>
              </a:solidFill>
              <a:latin typeface="+mn-lt"/>
              <a:ea typeface="+mn-ea"/>
              <a:cs typeface="+mn-cs"/>
            </a:rPr>
            <a:t>raise</a:t>
          </a:r>
          <a:r>
            <a:rPr lang="en-US" sz="1100">
              <a:solidFill>
                <a:schemeClr val="tx1"/>
              </a:solidFill>
              <a:latin typeface="+mn-lt"/>
              <a:ea typeface="+mn-ea"/>
              <a:cs typeface="+mn-cs"/>
            </a:rPr>
            <a:t> the brace height.</a:t>
          </a:r>
          <a:endParaRPr lang="en-US" sz="1200"/>
        </a:p>
        <a:p>
          <a:pPr algn="l"/>
          <a:endParaRPr lang="en-US" sz="1200" baseline="0"/>
        </a:p>
      </xdr:txBody>
    </xdr:sp>
    <xdr:clientData/>
  </xdr:twoCellAnchor>
  <xdr:twoCellAnchor>
    <xdr:from>
      <xdr:col>12</xdr:col>
      <xdr:colOff>428624</xdr:colOff>
      <xdr:row>1</xdr:row>
      <xdr:rowOff>186501</xdr:rowOff>
    </xdr:from>
    <xdr:to>
      <xdr:col>15</xdr:col>
      <xdr:colOff>501348</xdr:colOff>
      <xdr:row>1</xdr:row>
      <xdr:rowOff>800100</xdr:rowOff>
    </xdr:to>
    <xdr:pic>
      <xdr:nvPicPr>
        <xdr:cNvPr id="81817" name="Picture 28" descr="Stu Miller Archery.jpg">
          <a:extLst>
            <a:ext uri="{FF2B5EF4-FFF2-40B4-BE49-F238E27FC236}">
              <a16:creationId xmlns:a16="http://schemas.microsoft.com/office/drawing/2014/main" xmlns="" id="{560CC36C-4CF3-457A-8104-8EA04BE3047E}"/>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lum contrast="10000"/>
        </a:blip>
        <a:srcRect/>
        <a:stretch>
          <a:fillRect/>
        </a:stretch>
      </xdr:blipFill>
      <xdr:spPr bwMode="auto">
        <a:xfrm>
          <a:off x="8534399" y="348426"/>
          <a:ext cx="1815799" cy="613599"/>
        </a:xfrm>
        <a:prstGeom prst="rect">
          <a:avLst/>
        </a:prstGeom>
        <a:noFill/>
        <a:ln w="9525">
          <a:noFill/>
          <a:miter lim="800000"/>
          <a:headEnd/>
          <a:tailEnd/>
        </a:ln>
        <a:effectLst>
          <a:outerShdw blurRad="127000" dist="38100" dir="2700000" algn="tl" rotWithShape="0">
            <a:prstClr val="black">
              <a:alpha val="40000"/>
            </a:prstClr>
          </a:outerShdw>
        </a:effectLst>
      </xdr:spPr>
    </xdr:pic>
    <xdr:clientData/>
  </xdr:twoCellAnchor>
  <xdr:twoCellAnchor>
    <xdr:from>
      <xdr:col>1</xdr:col>
      <xdr:colOff>276225</xdr:colOff>
      <xdr:row>1</xdr:row>
      <xdr:rowOff>161925</xdr:rowOff>
    </xdr:from>
    <xdr:to>
      <xdr:col>12</xdr:col>
      <xdr:colOff>323850</xdr:colOff>
      <xdr:row>1</xdr:row>
      <xdr:rowOff>742950</xdr:rowOff>
    </xdr:to>
    <xdr:grpSp>
      <xdr:nvGrpSpPr>
        <xdr:cNvPr id="71" name="Group 118">
          <a:extLst>
            <a:ext uri="{FF2B5EF4-FFF2-40B4-BE49-F238E27FC236}">
              <a16:creationId xmlns:a16="http://schemas.microsoft.com/office/drawing/2014/main" xmlns="" id="{CAFA39AF-6385-4A0D-9F17-1D978C1B84B8}"/>
            </a:ext>
          </a:extLst>
        </xdr:cNvPr>
        <xdr:cNvGrpSpPr>
          <a:grpSpLocks/>
        </xdr:cNvGrpSpPr>
      </xdr:nvGrpSpPr>
      <xdr:grpSpPr bwMode="auto">
        <a:xfrm>
          <a:off x="621130" y="330367"/>
          <a:ext cx="8068678" cy="581025"/>
          <a:chOff x="3135328" y="80572"/>
          <a:chExt cx="7580005" cy="514348"/>
        </a:xfrm>
        <a:noFill/>
      </xdr:grpSpPr>
      <xdr:cxnSp macro="">
        <xdr:nvCxnSpPr>
          <xdr:cNvPr id="68" name="Straight Connector 67">
            <a:extLst>
              <a:ext uri="{FF2B5EF4-FFF2-40B4-BE49-F238E27FC236}">
                <a16:creationId xmlns:a16="http://schemas.microsoft.com/office/drawing/2014/main" xmlns="" id="{32B00AE3-61B1-4BC7-9FFF-C2A78891C866}"/>
              </a:ext>
            </a:extLst>
          </xdr:cNvPr>
          <xdr:cNvCxnSpPr/>
        </xdr:nvCxnSpPr>
        <xdr:spPr>
          <a:xfrm>
            <a:off x="3137749" y="469772"/>
            <a:ext cx="7589689" cy="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113" name="TextBox 112">
            <a:extLst>
              <a:ext uri="{FF2B5EF4-FFF2-40B4-BE49-F238E27FC236}">
                <a16:creationId xmlns:a16="http://schemas.microsoft.com/office/drawing/2014/main" xmlns="" id="{701ABF3D-8962-44F9-A821-9F4EAB32E85D}"/>
              </a:ext>
            </a:extLst>
          </xdr:cNvPr>
          <xdr:cNvSpPr txBox="1"/>
        </xdr:nvSpPr>
        <xdr:spPr>
          <a:xfrm>
            <a:off x="3146949" y="81903"/>
            <a:ext cx="6412137" cy="514348"/>
          </a:xfrm>
          <a:prstGeom prst="rect">
            <a:avLst/>
          </a:prstGeom>
          <a:grp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3600" b="1" i="1" spc="250" baseline="0">
                <a:ln w="6350">
                  <a:solidFill>
                    <a:schemeClr val="tx1">
                      <a:alpha val="28000"/>
                    </a:schemeClr>
                  </a:solidFill>
                </a:ln>
                <a:solidFill>
                  <a:srgbClr val="C00000"/>
                </a:solidFill>
                <a:latin typeface="+mj-lt"/>
              </a:rPr>
              <a:t>Dynamic Spine Calculator</a:t>
            </a:r>
          </a:p>
        </xdr:txBody>
      </xdr:sp>
    </xdr:grpSp>
    <xdr:clientData/>
  </xdr:twoCellAnchor>
  <xdr:twoCellAnchor>
    <xdr:from>
      <xdr:col>1</xdr:col>
      <xdr:colOff>28576</xdr:colOff>
      <xdr:row>1</xdr:row>
      <xdr:rowOff>0</xdr:rowOff>
    </xdr:from>
    <xdr:to>
      <xdr:col>17</xdr:col>
      <xdr:colOff>9526</xdr:colOff>
      <xdr:row>15</xdr:row>
      <xdr:rowOff>0</xdr:rowOff>
    </xdr:to>
    <xdr:sp macro="" textlink="">
      <xdr:nvSpPr>
        <xdr:cNvPr id="51" name="Rectangle 50">
          <a:extLst>
            <a:ext uri="{FF2B5EF4-FFF2-40B4-BE49-F238E27FC236}">
              <a16:creationId xmlns:a16="http://schemas.microsoft.com/office/drawing/2014/main" xmlns="" id="{E801919C-31D4-4E52-A881-7C8F915545C7}"/>
            </a:ext>
            <a:ext uri="{147F2762-F138-4A5C-976F-8EAC2B608ADB}">
              <a16:predDERef xmlns:a16="http://schemas.microsoft.com/office/drawing/2014/main" xmlns="" pred="{CAFA39AF-6385-4A0D-9F17-1D978C1B84B8}"/>
            </a:ext>
          </a:extLst>
        </xdr:cNvPr>
        <xdr:cNvSpPr/>
      </xdr:nvSpPr>
      <xdr:spPr bwMode="auto">
        <a:xfrm>
          <a:off x="360590" y="163286"/>
          <a:ext cx="10355036" cy="5497285"/>
        </a:xfrm>
        <a:prstGeom prst="rect">
          <a:avLst/>
        </a:prstGeom>
        <a:noFill/>
        <a:ln w="63500" cap="rnd" cmpd="thickThin">
          <a:solidFill>
            <a:schemeClr val="tx1">
              <a:lumMod val="95000"/>
              <a:lumOff val="5000"/>
            </a:schemeClr>
          </a:solidFill>
          <a:miter lim="800000"/>
        </a:ln>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ru-RU"/>
        </a:p>
      </xdr:txBody>
    </xdr:sp>
    <xdr:clientData/>
  </xdr:twoCellAnchor>
  <xdr:twoCellAnchor editAs="oneCell">
    <xdr:from>
      <xdr:col>6</xdr:col>
      <xdr:colOff>581025</xdr:colOff>
      <xdr:row>1</xdr:row>
      <xdr:rowOff>161925</xdr:rowOff>
    </xdr:from>
    <xdr:to>
      <xdr:col>14</xdr:col>
      <xdr:colOff>257175</xdr:colOff>
      <xdr:row>1</xdr:row>
      <xdr:rowOff>161925</xdr:rowOff>
    </xdr:to>
    <xdr:pic>
      <xdr:nvPicPr>
        <xdr:cNvPr id="173716" name="Picture 34">
          <a:extLst>
            <a:ext uri="{FF2B5EF4-FFF2-40B4-BE49-F238E27FC236}">
              <a16:creationId xmlns:a16="http://schemas.microsoft.com/office/drawing/2014/main" xmlns="" id="{AAEE2751-D6B1-4C5C-8D91-76E3A11D35DA}"/>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086350" y="323850"/>
          <a:ext cx="44481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314325</xdr:colOff>
      <xdr:row>13</xdr:row>
      <xdr:rowOff>191983</xdr:rowOff>
    </xdr:from>
    <xdr:to>
      <xdr:col>16</xdr:col>
      <xdr:colOff>223528</xdr:colOff>
      <xdr:row>14</xdr:row>
      <xdr:rowOff>178871</xdr:rowOff>
    </xdr:to>
    <xdr:sp macro="" textlink="">
      <xdr:nvSpPr>
        <xdr:cNvPr id="41" name="TextBox 40">
          <a:extLst>
            <a:ext uri="{FF2B5EF4-FFF2-40B4-BE49-F238E27FC236}">
              <a16:creationId xmlns:a16="http://schemas.microsoft.com/office/drawing/2014/main" xmlns="" id="{7B1A0531-F471-4A29-A23E-B9F62DFAFDB3}"/>
            </a:ext>
          </a:extLst>
        </xdr:cNvPr>
        <xdr:cNvSpPr txBox="1"/>
      </xdr:nvSpPr>
      <xdr:spPr>
        <a:xfrm>
          <a:off x="9591675" y="5354533"/>
          <a:ext cx="1071253" cy="253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900"/>
            <a:t>Rev: 12/25/10-V2</a:t>
          </a:r>
        </a:p>
      </xdr:txBody>
    </xdr:sp>
    <xdr:clientData/>
  </xdr:twoCellAnchor>
  <xdr:oneCellAnchor>
    <xdr:from>
      <xdr:col>3</xdr:col>
      <xdr:colOff>7616</xdr:colOff>
      <xdr:row>4</xdr:row>
      <xdr:rowOff>4757</xdr:rowOff>
    </xdr:from>
    <xdr:ext cx="138113" cy="155448"/>
    <xdr:sp macro="" textlink="">
      <xdr:nvSpPr>
        <xdr:cNvPr id="81" name="TextBox 80">
          <a:extLst>
            <a:ext uri="{FF2B5EF4-FFF2-40B4-BE49-F238E27FC236}">
              <a16:creationId xmlns:a16="http://schemas.microsoft.com/office/drawing/2014/main" xmlns="" id="{59602CBA-0AB8-4B3A-9227-ADE116851D99}"/>
            </a:ext>
          </a:extLst>
        </xdr:cNvPr>
        <xdr:cNvSpPr txBox="1">
          <a:spLocks/>
        </xdr:cNvSpPr>
      </xdr:nvSpPr>
      <xdr:spPr>
        <a:xfrm>
          <a:off x="2512092" y="2013000"/>
          <a:ext cx="138113" cy="155448"/>
        </a:xfrm>
        <a:prstGeom prst="rect">
          <a:avLst/>
        </a:prstGeom>
        <a:solidFill>
          <a:srgbClr val="FFFFCC"/>
        </a:solidFill>
        <a:ln w="6350" cmpd="sng">
          <a:solidFill>
            <a:schemeClr val="tx1">
              <a:lumMod val="95000"/>
              <a:lumOff val="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noAutofit/>
        </a:bodyPr>
        <a:lstStyle/>
        <a:p>
          <a:pPr marL="0" indent="0" algn="ctr"/>
          <a:r>
            <a:rPr lang="en-US" sz="800" b="1">
              <a:solidFill>
                <a:sysClr val="windowText" lastClr="000000"/>
              </a:solidFill>
              <a:latin typeface="Arial" pitchFamily="34" charset="0"/>
              <a:ea typeface="+mn-ea"/>
              <a:cs typeface="Arial" pitchFamily="34" charset="0"/>
            </a:rPr>
            <a:t>2</a:t>
          </a:r>
        </a:p>
      </xdr:txBody>
    </xdr:sp>
    <xdr:clientData/>
  </xdr:oneCellAnchor>
  <xdr:oneCellAnchor>
    <xdr:from>
      <xdr:col>2</xdr:col>
      <xdr:colOff>5627</xdr:colOff>
      <xdr:row>4</xdr:row>
      <xdr:rowOff>0</xdr:rowOff>
    </xdr:from>
    <xdr:ext cx="138113" cy="155448"/>
    <xdr:sp macro="" textlink="">
      <xdr:nvSpPr>
        <xdr:cNvPr id="82" name="TextBox 81">
          <a:extLst>
            <a:ext uri="{FF2B5EF4-FFF2-40B4-BE49-F238E27FC236}">
              <a16:creationId xmlns:a16="http://schemas.microsoft.com/office/drawing/2014/main" xmlns="" id="{94B56344-6765-4479-8D52-C71C73550E2A}"/>
            </a:ext>
          </a:extLst>
        </xdr:cNvPr>
        <xdr:cNvSpPr txBox="1">
          <a:spLocks/>
        </xdr:cNvSpPr>
      </xdr:nvSpPr>
      <xdr:spPr>
        <a:xfrm>
          <a:off x="1404070" y="2008909"/>
          <a:ext cx="138113" cy="155448"/>
        </a:xfrm>
        <a:prstGeom prst="rect">
          <a:avLst/>
        </a:prstGeom>
        <a:solidFill>
          <a:srgbClr val="FFFFCC"/>
        </a:solidFill>
        <a:ln w="6350" cmpd="sng">
          <a:solidFill>
            <a:schemeClr val="tx1">
              <a:lumMod val="95000"/>
              <a:lumOff val="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noAutofit/>
        </a:bodyPr>
        <a:lstStyle/>
        <a:p>
          <a:pPr algn="ctr"/>
          <a:r>
            <a:rPr lang="en-US" sz="800" b="1">
              <a:solidFill>
                <a:sysClr val="windowText" lastClr="000000"/>
              </a:solidFill>
              <a:latin typeface="Arial" pitchFamily="34" charset="0"/>
              <a:cs typeface="Arial" pitchFamily="34" charset="0"/>
            </a:rPr>
            <a:t>1</a:t>
          </a:r>
        </a:p>
      </xdr:txBody>
    </xdr:sp>
    <xdr:clientData/>
  </xdr:oneCellAnchor>
  <xdr:oneCellAnchor>
    <xdr:from>
      <xdr:col>4</xdr:col>
      <xdr:colOff>8093</xdr:colOff>
      <xdr:row>4</xdr:row>
      <xdr:rowOff>4761</xdr:rowOff>
    </xdr:from>
    <xdr:ext cx="138113" cy="155448"/>
    <xdr:sp macro="" textlink="">
      <xdr:nvSpPr>
        <xdr:cNvPr id="83" name="TextBox 82">
          <a:extLst>
            <a:ext uri="{FF2B5EF4-FFF2-40B4-BE49-F238E27FC236}">
              <a16:creationId xmlns:a16="http://schemas.microsoft.com/office/drawing/2014/main" xmlns="" id="{95A8A7D9-D9D6-4976-BD47-E8664A9D3AAD}"/>
            </a:ext>
          </a:extLst>
        </xdr:cNvPr>
        <xdr:cNvSpPr txBox="1">
          <a:spLocks/>
        </xdr:cNvSpPr>
      </xdr:nvSpPr>
      <xdr:spPr>
        <a:xfrm>
          <a:off x="3178652" y="2013004"/>
          <a:ext cx="138113" cy="155448"/>
        </a:xfrm>
        <a:prstGeom prst="rect">
          <a:avLst/>
        </a:prstGeom>
        <a:solidFill>
          <a:srgbClr val="FFFFCC"/>
        </a:solidFill>
        <a:ln w="6350" cmpd="sng">
          <a:solidFill>
            <a:schemeClr val="tx1">
              <a:lumMod val="95000"/>
              <a:lumOff val="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noAutofit/>
        </a:bodyPr>
        <a:lstStyle/>
        <a:p>
          <a:pPr marL="0" indent="0" algn="ctr"/>
          <a:r>
            <a:rPr lang="en-US" sz="800" b="1">
              <a:solidFill>
                <a:sysClr val="windowText" lastClr="000000"/>
              </a:solidFill>
              <a:latin typeface="Arial" pitchFamily="34" charset="0"/>
              <a:ea typeface="+mn-ea"/>
              <a:cs typeface="Arial" pitchFamily="34" charset="0"/>
            </a:rPr>
            <a:t>3</a:t>
          </a:r>
        </a:p>
      </xdr:txBody>
    </xdr:sp>
    <xdr:clientData/>
  </xdr:oneCellAnchor>
  <xdr:oneCellAnchor>
    <xdr:from>
      <xdr:col>5</xdr:col>
      <xdr:colOff>8093</xdr:colOff>
      <xdr:row>4</xdr:row>
      <xdr:rowOff>4761</xdr:rowOff>
    </xdr:from>
    <xdr:ext cx="138113" cy="155448"/>
    <xdr:sp macro="" textlink="">
      <xdr:nvSpPr>
        <xdr:cNvPr id="84" name="TextBox 83">
          <a:extLst>
            <a:ext uri="{FF2B5EF4-FFF2-40B4-BE49-F238E27FC236}">
              <a16:creationId xmlns:a16="http://schemas.microsoft.com/office/drawing/2014/main" xmlns="" id="{7EBC353B-86D9-47A5-97D8-DC5B6D2CC1C0}"/>
            </a:ext>
          </a:extLst>
        </xdr:cNvPr>
        <xdr:cNvSpPr txBox="1">
          <a:spLocks/>
        </xdr:cNvSpPr>
      </xdr:nvSpPr>
      <xdr:spPr>
        <a:xfrm>
          <a:off x="3844736" y="2013004"/>
          <a:ext cx="138113" cy="155448"/>
        </a:xfrm>
        <a:prstGeom prst="rect">
          <a:avLst/>
        </a:prstGeom>
        <a:solidFill>
          <a:srgbClr val="FFFFCC"/>
        </a:solidFill>
        <a:ln w="6350" cmpd="sng">
          <a:solidFill>
            <a:schemeClr val="tx1">
              <a:lumMod val="95000"/>
              <a:lumOff val="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noAutofit/>
        </a:bodyPr>
        <a:lstStyle/>
        <a:p>
          <a:pPr marL="0" indent="0" algn="ctr"/>
          <a:r>
            <a:rPr lang="en-US" sz="800" b="1">
              <a:solidFill>
                <a:sysClr val="windowText" lastClr="000000"/>
              </a:solidFill>
              <a:latin typeface="Arial" pitchFamily="34" charset="0"/>
              <a:ea typeface="+mn-ea"/>
              <a:cs typeface="Arial" pitchFamily="34" charset="0"/>
            </a:rPr>
            <a:t>4</a:t>
          </a:r>
        </a:p>
      </xdr:txBody>
    </xdr:sp>
    <xdr:clientData/>
  </xdr:oneCellAnchor>
  <xdr:oneCellAnchor>
    <xdr:from>
      <xdr:col>6</xdr:col>
      <xdr:colOff>6661</xdr:colOff>
      <xdr:row>4</xdr:row>
      <xdr:rowOff>4762</xdr:rowOff>
    </xdr:from>
    <xdr:ext cx="138113" cy="155448"/>
    <xdr:sp macro="" textlink="">
      <xdr:nvSpPr>
        <xdr:cNvPr id="85" name="TextBox 84">
          <a:extLst>
            <a:ext uri="{FF2B5EF4-FFF2-40B4-BE49-F238E27FC236}">
              <a16:creationId xmlns:a16="http://schemas.microsoft.com/office/drawing/2014/main" xmlns="" id="{9428DB6B-F06B-4A1A-9077-6BA3956EB933}"/>
            </a:ext>
          </a:extLst>
        </xdr:cNvPr>
        <xdr:cNvSpPr txBox="1">
          <a:spLocks/>
        </xdr:cNvSpPr>
      </xdr:nvSpPr>
      <xdr:spPr>
        <a:xfrm>
          <a:off x="4509388" y="2013005"/>
          <a:ext cx="138113" cy="155448"/>
        </a:xfrm>
        <a:prstGeom prst="rect">
          <a:avLst/>
        </a:prstGeom>
        <a:solidFill>
          <a:srgbClr val="FFFFCC"/>
        </a:solidFill>
        <a:ln w="6350" cmpd="sng">
          <a:solidFill>
            <a:schemeClr val="tx1">
              <a:lumMod val="95000"/>
              <a:lumOff val="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noAutofit/>
        </a:bodyPr>
        <a:lstStyle/>
        <a:p>
          <a:pPr marL="0" indent="0" algn="ctr"/>
          <a:r>
            <a:rPr lang="en-US" sz="800" b="1">
              <a:solidFill>
                <a:sysClr val="windowText" lastClr="000000"/>
              </a:solidFill>
              <a:latin typeface="Arial" pitchFamily="34" charset="0"/>
              <a:ea typeface="+mn-ea"/>
              <a:cs typeface="Arial" pitchFamily="34" charset="0"/>
            </a:rPr>
            <a:t>5</a:t>
          </a:r>
        </a:p>
      </xdr:txBody>
    </xdr:sp>
    <xdr:clientData/>
  </xdr:oneCellAnchor>
  <xdr:oneCellAnchor>
    <xdr:from>
      <xdr:col>7</xdr:col>
      <xdr:colOff>6660</xdr:colOff>
      <xdr:row>4</xdr:row>
      <xdr:rowOff>4763</xdr:rowOff>
    </xdr:from>
    <xdr:ext cx="138113" cy="157162"/>
    <xdr:sp macro="" textlink="">
      <xdr:nvSpPr>
        <xdr:cNvPr id="86" name="TextBox 85">
          <a:extLst>
            <a:ext uri="{FF2B5EF4-FFF2-40B4-BE49-F238E27FC236}">
              <a16:creationId xmlns:a16="http://schemas.microsoft.com/office/drawing/2014/main" xmlns="" id="{1A8BC7F4-E0F8-47D9-88A8-AB641555DA07}"/>
            </a:ext>
          </a:extLst>
        </xdr:cNvPr>
        <xdr:cNvSpPr txBox="1">
          <a:spLocks noChangeAspect="1"/>
        </xdr:cNvSpPr>
      </xdr:nvSpPr>
      <xdr:spPr>
        <a:xfrm>
          <a:off x="5225427" y="2013006"/>
          <a:ext cx="138113" cy="157162"/>
        </a:xfrm>
        <a:prstGeom prst="rect">
          <a:avLst/>
        </a:prstGeom>
        <a:solidFill>
          <a:srgbClr val="FFFFCC"/>
        </a:solidFill>
        <a:ln w="6350" cmpd="sng">
          <a:solidFill>
            <a:schemeClr val="tx1">
              <a:lumMod val="95000"/>
              <a:lumOff val="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noAutofit/>
        </a:bodyPr>
        <a:lstStyle/>
        <a:p>
          <a:pPr marL="0" indent="0" algn="ctr"/>
          <a:r>
            <a:rPr lang="en-US" sz="800" b="1">
              <a:solidFill>
                <a:sysClr val="windowText" lastClr="000000"/>
              </a:solidFill>
              <a:latin typeface="Arial" pitchFamily="34" charset="0"/>
              <a:ea typeface="+mn-ea"/>
              <a:cs typeface="Arial" pitchFamily="34" charset="0"/>
            </a:rPr>
            <a:t>6</a:t>
          </a:r>
        </a:p>
      </xdr:txBody>
    </xdr:sp>
    <xdr:clientData/>
  </xdr:oneCellAnchor>
  <xdr:oneCellAnchor>
    <xdr:from>
      <xdr:col>8</xdr:col>
      <xdr:colOff>8093</xdr:colOff>
      <xdr:row>4</xdr:row>
      <xdr:rowOff>4762</xdr:rowOff>
    </xdr:from>
    <xdr:ext cx="138113" cy="155448"/>
    <xdr:sp macro="" textlink="">
      <xdr:nvSpPr>
        <xdr:cNvPr id="87" name="TextBox 86">
          <a:extLst>
            <a:ext uri="{FF2B5EF4-FFF2-40B4-BE49-F238E27FC236}">
              <a16:creationId xmlns:a16="http://schemas.microsoft.com/office/drawing/2014/main" xmlns="" id="{CE2BDA90-CDDE-4074-988C-0C22A3117222}"/>
            </a:ext>
          </a:extLst>
        </xdr:cNvPr>
        <xdr:cNvSpPr txBox="1">
          <a:spLocks/>
        </xdr:cNvSpPr>
      </xdr:nvSpPr>
      <xdr:spPr>
        <a:xfrm>
          <a:off x="5969544" y="2013005"/>
          <a:ext cx="138113" cy="155448"/>
        </a:xfrm>
        <a:prstGeom prst="rect">
          <a:avLst/>
        </a:prstGeom>
        <a:solidFill>
          <a:srgbClr val="FFFFCC"/>
        </a:solidFill>
        <a:ln w="6350" cmpd="sng">
          <a:solidFill>
            <a:schemeClr val="tx1">
              <a:lumMod val="95000"/>
              <a:lumOff val="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noAutofit/>
        </a:bodyPr>
        <a:lstStyle/>
        <a:p>
          <a:pPr marL="0" indent="0" algn="ctr"/>
          <a:r>
            <a:rPr lang="en-US" sz="800" b="1">
              <a:solidFill>
                <a:sysClr val="windowText" lastClr="000000"/>
              </a:solidFill>
              <a:latin typeface="Arial" pitchFamily="34" charset="0"/>
              <a:ea typeface="+mn-ea"/>
              <a:cs typeface="Arial" pitchFamily="34" charset="0"/>
            </a:rPr>
            <a:t>7</a:t>
          </a:r>
        </a:p>
      </xdr:txBody>
    </xdr:sp>
    <xdr:clientData/>
  </xdr:oneCellAnchor>
  <xdr:oneCellAnchor>
    <xdr:from>
      <xdr:col>2</xdr:col>
      <xdr:colOff>6660</xdr:colOff>
      <xdr:row>12</xdr:row>
      <xdr:rowOff>6195</xdr:rowOff>
    </xdr:from>
    <xdr:ext cx="138113" cy="155448"/>
    <xdr:sp macro="" textlink="">
      <xdr:nvSpPr>
        <xdr:cNvPr id="88" name="TextBox 87">
          <a:extLst>
            <a:ext uri="{FF2B5EF4-FFF2-40B4-BE49-F238E27FC236}">
              <a16:creationId xmlns:a16="http://schemas.microsoft.com/office/drawing/2014/main" xmlns="" id="{3FFF019B-01F5-466A-8807-6F798DC4232B}"/>
            </a:ext>
          </a:extLst>
        </xdr:cNvPr>
        <xdr:cNvSpPr txBox="1">
          <a:spLocks/>
        </xdr:cNvSpPr>
      </xdr:nvSpPr>
      <xdr:spPr>
        <a:xfrm>
          <a:off x="1405436" y="4525574"/>
          <a:ext cx="138113" cy="155448"/>
        </a:xfrm>
        <a:prstGeom prst="rect">
          <a:avLst/>
        </a:prstGeom>
        <a:solidFill>
          <a:srgbClr val="FFFFCC"/>
        </a:solidFill>
        <a:ln w="6350" cmpd="sng">
          <a:solidFill>
            <a:schemeClr val="tx1">
              <a:lumMod val="95000"/>
              <a:lumOff val="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noAutofit/>
        </a:bodyPr>
        <a:lstStyle/>
        <a:p>
          <a:pPr marL="0" indent="0" algn="ctr"/>
          <a:r>
            <a:rPr lang="en-US" sz="800" b="1">
              <a:solidFill>
                <a:sysClr val="windowText" lastClr="000000"/>
              </a:solidFill>
              <a:latin typeface="Arial" pitchFamily="34" charset="0"/>
              <a:ea typeface="+mn-ea"/>
              <a:cs typeface="Arial" pitchFamily="34" charset="0"/>
            </a:rPr>
            <a:t>8</a:t>
          </a:r>
        </a:p>
      </xdr:txBody>
    </xdr:sp>
    <xdr:clientData/>
  </xdr:oneCellAnchor>
  <xdr:oneCellAnchor>
    <xdr:from>
      <xdr:col>3</xdr:col>
      <xdr:colOff>6661</xdr:colOff>
      <xdr:row>12</xdr:row>
      <xdr:rowOff>2865</xdr:rowOff>
    </xdr:from>
    <xdr:ext cx="119142" cy="149895"/>
    <xdr:sp macro="" textlink="">
      <xdr:nvSpPr>
        <xdr:cNvPr id="89" name="TextBox 88">
          <a:extLst>
            <a:ext uri="{FF2B5EF4-FFF2-40B4-BE49-F238E27FC236}">
              <a16:creationId xmlns:a16="http://schemas.microsoft.com/office/drawing/2014/main" xmlns="" id="{533AE866-F0CD-4DCE-87BA-87D05000BE3B}"/>
            </a:ext>
          </a:extLst>
        </xdr:cNvPr>
        <xdr:cNvSpPr txBox="1">
          <a:spLocks/>
        </xdr:cNvSpPr>
      </xdr:nvSpPr>
      <xdr:spPr>
        <a:xfrm>
          <a:off x="2513713" y="4513761"/>
          <a:ext cx="119142" cy="149895"/>
        </a:xfrm>
        <a:prstGeom prst="rect">
          <a:avLst/>
        </a:prstGeom>
        <a:solidFill>
          <a:srgbClr val="FFFFCC"/>
        </a:solidFill>
        <a:ln w="6350" cmpd="sng">
          <a:solidFill>
            <a:schemeClr val="tx1">
              <a:lumMod val="95000"/>
              <a:lumOff val="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noAutofit/>
        </a:bodyPr>
        <a:lstStyle/>
        <a:p>
          <a:pPr marL="0" indent="0" algn="ctr"/>
          <a:r>
            <a:rPr lang="en-US" sz="800" b="1">
              <a:solidFill>
                <a:sysClr val="windowText" lastClr="000000"/>
              </a:solidFill>
              <a:latin typeface="Arial" pitchFamily="34" charset="0"/>
              <a:ea typeface="+mn-ea"/>
              <a:cs typeface="Arial" pitchFamily="34" charset="0"/>
            </a:rPr>
            <a:t>9</a:t>
          </a:r>
        </a:p>
      </xdr:txBody>
    </xdr:sp>
    <xdr:clientData/>
  </xdr:oneCellAnchor>
  <xdr:twoCellAnchor>
    <xdr:from>
      <xdr:col>3</xdr:col>
      <xdr:colOff>533400</xdr:colOff>
      <xdr:row>12</xdr:row>
      <xdr:rowOff>0</xdr:rowOff>
    </xdr:from>
    <xdr:to>
      <xdr:col>4</xdr:col>
      <xdr:colOff>323850</xdr:colOff>
      <xdr:row>12</xdr:row>
      <xdr:rowOff>152400</xdr:rowOff>
    </xdr:to>
    <xdr:grpSp>
      <xdr:nvGrpSpPr>
        <xdr:cNvPr id="173727" name="Group 115">
          <a:extLst>
            <a:ext uri="{FF2B5EF4-FFF2-40B4-BE49-F238E27FC236}">
              <a16:creationId xmlns:a16="http://schemas.microsoft.com/office/drawing/2014/main" xmlns="" id="{A6177077-6650-4379-980C-490FD0948640}"/>
            </a:ext>
          </a:extLst>
        </xdr:cNvPr>
        <xdr:cNvGrpSpPr>
          <a:grpSpLocks/>
        </xdr:cNvGrpSpPr>
      </xdr:nvGrpSpPr>
      <xdr:grpSpPr bwMode="auto">
        <a:xfrm>
          <a:off x="3116179" y="4467726"/>
          <a:ext cx="480260" cy="152400"/>
          <a:chOff x="3044071" y="4516049"/>
          <a:chExt cx="456533" cy="152398"/>
        </a:xfrm>
      </xdr:grpSpPr>
      <xdr:sp macro="" textlink="">
        <xdr:nvSpPr>
          <xdr:cNvPr id="91" name="TextBox 90">
            <a:extLst>
              <a:ext uri="{FF2B5EF4-FFF2-40B4-BE49-F238E27FC236}">
                <a16:creationId xmlns:a16="http://schemas.microsoft.com/office/drawing/2014/main" xmlns="" id="{A909FBCC-1DFA-4A8D-BA70-5A6F110312F1}"/>
              </a:ext>
            </a:extLst>
          </xdr:cNvPr>
          <xdr:cNvSpPr txBox="1">
            <a:spLocks/>
          </xdr:cNvSpPr>
        </xdr:nvSpPr>
        <xdr:spPr bwMode="auto">
          <a:xfrm>
            <a:off x="3177226" y="4516049"/>
            <a:ext cx="190222" cy="142873"/>
          </a:xfrm>
          <a:prstGeom prst="rect">
            <a:avLst/>
          </a:prstGeom>
          <a:solidFill>
            <a:srgbClr val="FFFFCC"/>
          </a:solidFill>
          <a:ln w="6350" cmpd="sng">
            <a:solidFill>
              <a:schemeClr val="tx1">
                <a:lumMod val="95000"/>
                <a:lumOff val="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noAutofit/>
          </a:bodyPr>
          <a:lstStyle/>
          <a:p>
            <a:endParaRPr lang="ru-RU"/>
          </a:p>
        </xdr:txBody>
      </xdr:sp>
      <xdr:sp macro="" textlink="">
        <xdr:nvSpPr>
          <xdr:cNvPr id="90" name="TextBox 89">
            <a:extLst>
              <a:ext uri="{FF2B5EF4-FFF2-40B4-BE49-F238E27FC236}">
                <a16:creationId xmlns:a16="http://schemas.microsoft.com/office/drawing/2014/main" xmlns="" id="{0EBBDF91-ECAA-43AD-A270-DEC9156E00E7}"/>
              </a:ext>
            </a:extLst>
          </xdr:cNvPr>
          <xdr:cNvSpPr txBox="1">
            <a:spLocks/>
          </xdr:cNvSpPr>
        </xdr:nvSpPr>
        <xdr:spPr bwMode="auto">
          <a:xfrm>
            <a:off x="3044071" y="4516049"/>
            <a:ext cx="456533" cy="142873"/>
          </a:xfrm>
          <a:prstGeom prst="rect">
            <a:avLst/>
          </a:prstGeom>
          <a:noFill/>
          <a:ln w="6350"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noAutofit/>
          </a:bodyPr>
          <a:lstStyle/>
          <a:p>
            <a:pPr marL="0" indent="0" algn="ctr"/>
            <a:r>
              <a:rPr lang="en-US" sz="800" b="1">
                <a:solidFill>
                  <a:sysClr val="windowText" lastClr="000000"/>
                </a:solidFill>
                <a:latin typeface="Arial" pitchFamily="34" charset="0"/>
                <a:ea typeface="+mn-ea"/>
                <a:cs typeface="Arial" pitchFamily="34" charset="0"/>
              </a:rPr>
              <a:t>10</a:t>
            </a:r>
          </a:p>
        </xdr:txBody>
      </xdr:sp>
    </xdr:grpSp>
    <xdr:clientData/>
  </xdr:twoCellAnchor>
  <xdr:twoCellAnchor>
    <xdr:from>
      <xdr:col>4</xdr:col>
      <xdr:colOff>552450</xdr:colOff>
      <xdr:row>12</xdr:row>
      <xdr:rowOff>0</xdr:rowOff>
    </xdr:from>
    <xdr:to>
      <xdr:col>5</xdr:col>
      <xdr:colOff>314325</xdr:colOff>
      <xdr:row>12</xdr:row>
      <xdr:rowOff>152400</xdr:rowOff>
    </xdr:to>
    <xdr:grpSp>
      <xdr:nvGrpSpPr>
        <xdr:cNvPr id="173728" name="Group 114">
          <a:extLst>
            <a:ext uri="{FF2B5EF4-FFF2-40B4-BE49-F238E27FC236}">
              <a16:creationId xmlns:a16="http://schemas.microsoft.com/office/drawing/2014/main" xmlns="" id="{72CA04BC-41F5-4172-BFC2-25567DB65966}"/>
            </a:ext>
          </a:extLst>
        </xdr:cNvPr>
        <xdr:cNvGrpSpPr>
          <a:grpSpLocks/>
        </xdr:cNvGrpSpPr>
      </xdr:nvGrpSpPr>
      <xdr:grpSpPr bwMode="auto">
        <a:xfrm>
          <a:off x="3825039" y="4467726"/>
          <a:ext cx="451686" cy="152400"/>
          <a:chOff x="3690105" y="4542689"/>
          <a:chExt cx="426299" cy="145740"/>
        </a:xfrm>
      </xdr:grpSpPr>
      <xdr:sp macro="" textlink="">
        <xdr:nvSpPr>
          <xdr:cNvPr id="94" name="TextBox 93">
            <a:extLst>
              <a:ext uri="{FF2B5EF4-FFF2-40B4-BE49-F238E27FC236}">
                <a16:creationId xmlns:a16="http://schemas.microsoft.com/office/drawing/2014/main" xmlns="" id="{54637F24-F848-4CAE-AF7E-34CF1811FC80}"/>
              </a:ext>
            </a:extLst>
          </xdr:cNvPr>
          <xdr:cNvSpPr txBox="1">
            <a:spLocks/>
          </xdr:cNvSpPr>
        </xdr:nvSpPr>
        <xdr:spPr bwMode="auto">
          <a:xfrm>
            <a:off x="3813258" y="4542689"/>
            <a:ext cx="189466" cy="145740"/>
          </a:xfrm>
          <a:prstGeom prst="rect">
            <a:avLst/>
          </a:prstGeom>
          <a:solidFill>
            <a:srgbClr val="FFFFCC"/>
          </a:solidFill>
          <a:ln w="6350" cmpd="sng">
            <a:solidFill>
              <a:schemeClr val="tx1">
                <a:lumMod val="95000"/>
                <a:lumOff val="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noAutofit/>
          </a:bodyPr>
          <a:lstStyle/>
          <a:p>
            <a:endParaRPr lang="ru-RU"/>
          </a:p>
        </xdr:txBody>
      </xdr:sp>
      <xdr:sp macro="" textlink="">
        <xdr:nvSpPr>
          <xdr:cNvPr id="95" name="TextBox 94">
            <a:extLst>
              <a:ext uri="{FF2B5EF4-FFF2-40B4-BE49-F238E27FC236}">
                <a16:creationId xmlns:a16="http://schemas.microsoft.com/office/drawing/2014/main" xmlns="" id="{F84C2CFD-76AE-4579-AD7A-30C4346EFC38}"/>
              </a:ext>
            </a:extLst>
          </xdr:cNvPr>
          <xdr:cNvSpPr txBox="1">
            <a:spLocks/>
          </xdr:cNvSpPr>
        </xdr:nvSpPr>
        <xdr:spPr bwMode="auto">
          <a:xfrm>
            <a:off x="3690105" y="4542689"/>
            <a:ext cx="426299" cy="145740"/>
          </a:xfrm>
          <a:prstGeom prst="rect">
            <a:avLst/>
          </a:prstGeom>
          <a:noFill/>
          <a:ln w="6350"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noAutofit/>
          </a:bodyPr>
          <a:lstStyle/>
          <a:p>
            <a:pPr marL="0" indent="0" algn="ctr"/>
            <a:r>
              <a:rPr lang="en-US" sz="800" b="1">
                <a:solidFill>
                  <a:sysClr val="windowText" lastClr="000000"/>
                </a:solidFill>
                <a:latin typeface="Arial" pitchFamily="34" charset="0"/>
                <a:ea typeface="+mn-ea"/>
                <a:cs typeface="Arial" pitchFamily="34" charset="0"/>
              </a:rPr>
              <a:t>11</a:t>
            </a:r>
          </a:p>
        </xdr:txBody>
      </xdr:sp>
    </xdr:grpSp>
    <xdr:clientData/>
  </xdr:twoCellAnchor>
  <xdr:twoCellAnchor>
    <xdr:from>
      <xdr:col>255</xdr:col>
      <xdr:colOff>323850</xdr:colOff>
      <xdr:row>3869</xdr:row>
      <xdr:rowOff>9525</xdr:rowOff>
    </xdr:from>
    <xdr:to>
      <xdr:col>255</xdr:col>
      <xdr:colOff>514350</xdr:colOff>
      <xdr:row>4049</xdr:row>
      <xdr:rowOff>28575</xdr:rowOff>
    </xdr:to>
    <xdr:grpSp>
      <xdr:nvGrpSpPr>
        <xdr:cNvPr id="173729" name="Group 46">
          <a:extLst>
            <a:ext uri="{FF2B5EF4-FFF2-40B4-BE49-F238E27FC236}">
              <a16:creationId xmlns:a16="http://schemas.microsoft.com/office/drawing/2014/main" xmlns="" id="{99A3FE98-2DC4-480C-AD97-D7EB14EBACA0}"/>
            </a:ext>
          </a:extLst>
        </xdr:cNvPr>
        <xdr:cNvGrpSpPr>
          <a:grpSpLocks/>
        </xdr:cNvGrpSpPr>
      </xdr:nvGrpSpPr>
      <xdr:grpSpPr bwMode="auto">
        <a:xfrm>
          <a:off x="156918861" y="656011314"/>
          <a:ext cx="190500" cy="30338629"/>
          <a:chOff x="163421960" y="185578613"/>
          <a:chExt cx="11536834" cy="17107894"/>
        </a:xfrm>
      </xdr:grpSpPr>
      <xdr:grpSp>
        <xdr:nvGrpSpPr>
          <xdr:cNvPr id="70" name="Group 15">
            <a:extLst>
              <a:ext uri="{FF2B5EF4-FFF2-40B4-BE49-F238E27FC236}">
                <a16:creationId xmlns:a16="http://schemas.microsoft.com/office/drawing/2014/main" xmlns="" id="{CEC9FF91-09E0-4044-AE9F-1A6FF0DE7AD0}"/>
              </a:ext>
            </a:extLst>
          </xdr:cNvPr>
          <xdr:cNvGrpSpPr>
            <a:grpSpLocks/>
          </xdr:cNvGrpSpPr>
        </xdr:nvGrpSpPr>
        <xdr:grpSpPr bwMode="auto">
          <a:xfrm>
            <a:off x="163421960" y="185578613"/>
            <a:ext cx="6345259" cy="17107894"/>
            <a:chOff x="-39632835" y="2769558"/>
            <a:chExt cx="9890411" cy="15399147"/>
          </a:xfrm>
          <a:grpFill/>
        </xdr:grpSpPr>
        <xdr:sp macro="" textlink="">
          <xdr:nvSpPr>
            <xdr:cNvPr id="59" name="TextBox 58">
              <a:extLst>
                <a:ext uri="{FF2B5EF4-FFF2-40B4-BE49-F238E27FC236}">
                  <a16:creationId xmlns:a16="http://schemas.microsoft.com/office/drawing/2014/main" xmlns="" id="{20E2E9E6-27E5-4E2B-B37D-F431C48285F4}"/>
                </a:ext>
              </a:extLst>
            </xdr:cNvPr>
            <xdr:cNvSpPr txBox="1"/>
          </xdr:nvSpPr>
          <xdr:spPr>
            <a:xfrm>
              <a:off x="-39632835" y="2769558"/>
              <a:ext cx="9890411" cy="15399147"/>
            </a:xfrm>
            <a:prstGeom prst="rect">
              <a:avLst/>
            </a:prstGeom>
            <a:grpFill/>
            <a:ln w="34925" cmpd="dbl">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u="sng">
                  <a:solidFill>
                    <a:schemeClr val="dk1"/>
                  </a:solidFill>
                  <a:latin typeface="+mn-lt"/>
                  <a:ea typeface="+mn-ea"/>
                  <a:cs typeface="+mn-cs"/>
                </a:rPr>
                <a:t>Quick Tips:</a:t>
              </a:r>
            </a:p>
            <a:p>
              <a:pPr lvl="0"/>
              <a:r>
                <a:rPr lang="en-US" sz="1100">
                  <a:solidFill>
                    <a:schemeClr val="dk1"/>
                  </a:solidFill>
                  <a:latin typeface="+mn-lt"/>
                  <a:ea typeface="+mn-ea"/>
                  <a:cs typeface="+mn-cs"/>
                </a:rPr>
                <a:t>1.  Calculations are based on parallel shafts.  If using tapered wood  or front loaded carbon shafts then the </a:t>
              </a:r>
              <a:r>
                <a:rPr lang="en-US" sz="1100" u="sng">
                  <a:solidFill>
                    <a:schemeClr val="dk1"/>
                  </a:solidFill>
                  <a:latin typeface="+mn-lt"/>
                  <a:ea typeface="+mn-ea"/>
                  <a:cs typeface="+mn-cs"/>
                </a:rPr>
                <a:t>dynamic arrow spine </a:t>
              </a:r>
              <a:r>
                <a:rPr lang="en-US" sz="1100">
                  <a:solidFill>
                    <a:schemeClr val="dk1"/>
                  </a:solidFill>
                  <a:latin typeface="+mn-lt"/>
                  <a:ea typeface="+mn-ea"/>
                  <a:cs typeface="+mn-cs"/>
                </a:rPr>
                <a:t>will be slightly </a:t>
              </a:r>
              <a:r>
                <a:rPr lang="en-US" sz="1100">
                  <a:solidFill>
                    <a:sysClr val="windowText" lastClr="000000"/>
                  </a:solidFill>
                  <a:latin typeface="+mn-lt"/>
                  <a:ea typeface="+mn-ea"/>
                  <a:cs typeface="+mn-cs"/>
                </a:rPr>
                <a:t>weaker</a:t>
              </a:r>
              <a:r>
                <a:rPr lang="en-US" sz="1100" baseline="0">
                  <a:solidFill>
                    <a:sysClr val="windowText" lastClr="000000"/>
                  </a:solidFill>
                  <a:latin typeface="+mn-lt"/>
                  <a:ea typeface="+mn-ea"/>
                  <a:cs typeface="+mn-cs"/>
                </a:rPr>
                <a:t> and the </a:t>
              </a:r>
              <a:r>
                <a:rPr lang="en-US" sz="1100" u="sng" baseline="0">
                  <a:solidFill>
                    <a:sysClr val="windowText" lastClr="000000"/>
                  </a:solidFill>
                  <a:latin typeface="+mn-lt"/>
                  <a:ea typeface="+mn-ea"/>
                  <a:cs typeface="+mn-cs"/>
                </a:rPr>
                <a:t>FOC %</a:t>
              </a:r>
              <a:r>
                <a:rPr lang="en-US" sz="1100" baseline="0">
                  <a:solidFill>
                    <a:sysClr val="windowText" lastClr="000000"/>
                  </a:solidFill>
                  <a:latin typeface="+mn-lt"/>
                  <a:ea typeface="+mn-ea"/>
                  <a:cs typeface="+mn-cs"/>
                </a:rPr>
                <a:t> will be  </a:t>
              </a:r>
            </a:p>
            <a:p>
              <a:pPr lvl="0"/>
              <a:r>
                <a:rPr lang="en-US" sz="1100" baseline="0">
                  <a:solidFill>
                    <a:sysClr val="windowText" lastClr="000000"/>
                  </a:solidFill>
                  <a:latin typeface="+mn-lt"/>
                  <a:ea typeface="+mn-ea"/>
                  <a:cs typeface="+mn-cs"/>
                </a:rPr>
                <a:t>      slightly higher</a:t>
              </a:r>
              <a:r>
                <a:rPr lang="en-US" sz="1100" baseline="0">
                  <a:solidFill>
                    <a:srgbClr val="C00000"/>
                  </a:solidFill>
                  <a:latin typeface="+mn-lt"/>
                  <a:ea typeface="+mn-ea"/>
                  <a:cs typeface="+mn-cs"/>
                </a:rPr>
                <a:t>.   To estimate this influence, s</a:t>
              </a:r>
              <a:r>
                <a:rPr lang="en-US" sz="1100" u="sng" baseline="0">
                  <a:solidFill>
                    <a:srgbClr val="C00000"/>
                  </a:solidFill>
                  <a:latin typeface="+mn-lt"/>
                  <a:ea typeface="+mn-ea"/>
                  <a:cs typeface="+mn-cs"/>
                </a:rPr>
                <a:t>ubtract</a:t>
              </a:r>
              <a:r>
                <a:rPr lang="en-US" sz="1100" baseline="0">
                  <a:solidFill>
                    <a:srgbClr val="C00000"/>
                  </a:solidFill>
                  <a:latin typeface="+mn-lt"/>
                  <a:ea typeface="+mn-ea"/>
                  <a:cs typeface="+mn-cs"/>
                </a:rPr>
                <a:t> 2# from the arrows dynamic spine number and add 1.5% to the FOC number shown.</a:t>
              </a:r>
            </a:p>
            <a:p>
              <a:pPr lvl="0"/>
              <a:r>
                <a:rPr lang="en-US" sz="1100">
                  <a:solidFill>
                    <a:schemeClr val="dk1"/>
                  </a:solidFill>
                  <a:latin typeface="+mn-lt"/>
                  <a:ea typeface="+mn-ea"/>
                  <a:cs typeface="+mn-cs"/>
                </a:rPr>
                <a:t>2.  A heavy arrow crown/cresting or thick crown wrap will increase the dynamic arrow spine so add the appropriate weight  along with the nock weight in box  </a:t>
              </a:r>
              <a:r>
                <a:rPr lang="en-US" sz="1400" b="1">
                  <a:solidFill>
                    <a:srgbClr val="C00000"/>
                  </a:solidFill>
                  <a:latin typeface="+mn-lt"/>
                  <a:ea typeface="+mn-ea"/>
                  <a:cs typeface="+mn-cs"/>
                  <a:sym typeface="Wingdings"/>
                </a:rPr>
                <a:t>6</a:t>
              </a:r>
              <a:r>
                <a:rPr lang="en-US" sz="1100">
                  <a:solidFill>
                    <a:srgbClr val="FF0000"/>
                  </a:solidFill>
                  <a:latin typeface="+mn-lt"/>
                  <a:ea typeface="+mn-ea"/>
                  <a:cs typeface="+mn-cs"/>
                  <a:sym typeface="Wingdings"/>
                </a:rPr>
                <a:t>.</a:t>
              </a:r>
              <a:endParaRPr lang="en-US" sz="1100">
                <a:solidFill>
                  <a:srgbClr val="FF0000"/>
                </a:solidFill>
                <a:latin typeface="+mn-lt"/>
                <a:ea typeface="+mn-ea"/>
                <a:cs typeface="+mn-cs"/>
              </a:endParaRPr>
            </a:p>
            <a:p>
              <a:pPr lvl="0"/>
              <a:r>
                <a:rPr lang="en-US" sz="1100">
                  <a:solidFill>
                    <a:schemeClr val="dk1"/>
                  </a:solidFill>
                  <a:latin typeface="+mn-lt"/>
                  <a:ea typeface="+mn-ea"/>
                  <a:cs typeface="+mn-cs"/>
                </a:rPr>
                <a:t>3.  If using multiple or extra heavy string silencers on your bow then the required dynamic arrow spine will be slightly reduced</a:t>
              </a:r>
              <a:r>
                <a:rPr lang="en-US" sz="1100">
                  <a:solidFill>
                    <a:srgbClr val="C00000"/>
                  </a:solidFill>
                  <a:latin typeface="+mn-lt"/>
                  <a:ea typeface="+mn-ea"/>
                  <a:cs typeface="+mn-cs"/>
                </a:rPr>
                <a:t>.  </a:t>
              </a:r>
              <a:r>
                <a:rPr lang="en-US" sz="1100" u="sng">
                  <a:solidFill>
                    <a:srgbClr val="C00000"/>
                  </a:solidFill>
                  <a:latin typeface="+mn-lt"/>
                  <a:ea typeface="+mn-ea"/>
                  <a:cs typeface="+mn-cs"/>
                </a:rPr>
                <a:t>Subtract</a:t>
              </a:r>
              <a:r>
                <a:rPr lang="en-US" sz="1100">
                  <a:solidFill>
                    <a:srgbClr val="C00000"/>
                  </a:solidFill>
                  <a:latin typeface="+mn-lt"/>
                  <a:ea typeface="+mn-ea"/>
                  <a:cs typeface="+mn-cs"/>
                </a:rPr>
                <a:t> 2# from the bows required dynamic</a:t>
              </a:r>
              <a:r>
                <a:rPr lang="en-US" sz="1100" baseline="0">
                  <a:solidFill>
                    <a:srgbClr val="C00000"/>
                  </a:solidFill>
                  <a:latin typeface="+mn-lt"/>
                  <a:ea typeface="+mn-ea"/>
                  <a:cs typeface="+mn-cs"/>
                </a:rPr>
                <a:t> </a:t>
              </a:r>
            </a:p>
            <a:p>
              <a:pPr lvl="0"/>
              <a:r>
                <a:rPr lang="en-US" sz="1100" baseline="0">
                  <a:solidFill>
                    <a:srgbClr val="C00000"/>
                  </a:solidFill>
                  <a:latin typeface="+mn-lt"/>
                  <a:ea typeface="+mn-ea"/>
                  <a:cs typeface="+mn-cs"/>
                </a:rPr>
                <a:t>     s</a:t>
              </a:r>
              <a:r>
                <a:rPr lang="en-US" sz="1100">
                  <a:solidFill>
                    <a:srgbClr val="C00000"/>
                  </a:solidFill>
                  <a:latin typeface="+mn-lt"/>
                  <a:ea typeface="+mn-ea"/>
                  <a:cs typeface="+mn-cs"/>
                </a:rPr>
                <a:t>pine number.</a:t>
              </a:r>
            </a:p>
            <a:p>
              <a:pPr lvl="0"/>
              <a:r>
                <a:rPr lang="en-US" sz="1100">
                  <a:solidFill>
                    <a:schemeClr val="dk1"/>
                  </a:solidFill>
                  <a:latin typeface="+mn-lt"/>
                  <a:ea typeface="+mn-ea"/>
                  <a:cs typeface="+mn-cs"/>
                </a:rPr>
                <a:t>4.</a:t>
              </a:r>
              <a:r>
                <a:rPr lang="en-US" sz="1100" baseline="0">
                  <a:solidFill>
                    <a:schemeClr val="dk1"/>
                  </a:solidFill>
                  <a:latin typeface="+mn-lt"/>
                  <a:ea typeface="+mn-ea"/>
                  <a:cs typeface="+mn-cs"/>
                </a:rPr>
                <a:t>  Most common errors can be attributed to:</a:t>
              </a:r>
            </a:p>
            <a:p>
              <a:pPr lvl="0"/>
              <a:r>
                <a:rPr lang="en-US" sz="1100" baseline="0">
                  <a:solidFill>
                    <a:schemeClr val="dk1"/>
                  </a:solidFill>
                  <a:latin typeface="+mn-lt"/>
                  <a:ea typeface="+mn-ea"/>
                  <a:cs typeface="+mn-cs"/>
                </a:rPr>
                <a:t>          a.  Using an incorrect draw weight.  Many bow can be off as many as 4# from the marked weight.</a:t>
              </a:r>
            </a:p>
            <a:p>
              <a:pPr lvl="0"/>
              <a:r>
                <a:rPr lang="en-US" sz="1100" baseline="0">
                  <a:solidFill>
                    <a:schemeClr val="dk1"/>
                  </a:solidFill>
                  <a:latin typeface="+mn-lt"/>
                  <a:ea typeface="+mn-ea"/>
                  <a:cs typeface="+mn-cs"/>
                </a:rPr>
                <a:t>          b.  Using an incorrect draw length.  Your draw length may vary depending on the specific bow.</a:t>
              </a:r>
            </a:p>
            <a:p>
              <a:pPr lvl="0"/>
              <a:r>
                <a:rPr lang="en-US" sz="1100" baseline="0">
                  <a:solidFill>
                    <a:schemeClr val="dk1"/>
                  </a:solidFill>
                  <a:latin typeface="+mn-lt"/>
                  <a:ea typeface="+mn-ea"/>
                  <a:cs typeface="+mn-cs"/>
                </a:rPr>
                <a:t>          c.  Incorrect centershot position (including strike plate) .  </a:t>
              </a:r>
            </a:p>
            <a:p>
              <a:pPr lvl="0"/>
              <a:r>
                <a:rPr lang="en-US" sz="1100" baseline="0">
                  <a:solidFill>
                    <a:schemeClr val="dk1"/>
                  </a:solidFill>
                  <a:latin typeface="+mn-lt"/>
                  <a:ea typeface="+mn-ea"/>
                  <a:cs typeface="+mn-cs"/>
                </a:rPr>
                <a:t>      Double check these both by actual measurements whenever possible.</a:t>
              </a:r>
            </a:p>
            <a:p>
              <a:pPr lvl="0"/>
              <a:r>
                <a:rPr lang="en-US" sz="1100" baseline="0">
                  <a:solidFill>
                    <a:schemeClr val="dk1"/>
                  </a:solidFill>
                  <a:latin typeface="+mn-lt"/>
                  <a:ea typeface="+mn-ea"/>
                  <a:cs typeface="+mn-cs"/>
                </a:rPr>
                <a:t>5.  </a:t>
              </a:r>
              <a:r>
                <a:rPr lang="en-US" sz="1100">
                  <a:solidFill>
                    <a:schemeClr val="dk1"/>
                  </a:solidFill>
                  <a:latin typeface="+mn-lt"/>
                  <a:ea typeface="+mn-ea"/>
                  <a:cs typeface="+mn-cs"/>
                </a:rPr>
                <a:t>Fine tuning tips:</a:t>
              </a:r>
            </a:p>
            <a:p>
              <a:pPr lvl="0"/>
              <a:r>
                <a:rPr lang="en-US" sz="1100" baseline="0">
                  <a:solidFill>
                    <a:schemeClr val="dk1"/>
                  </a:solidFill>
                  <a:latin typeface="+mn-lt"/>
                  <a:ea typeface="+mn-ea"/>
                  <a:cs typeface="+mn-cs"/>
                </a:rPr>
                <a:t>         Once the arrow dynamic matches the requirement of the bow (approx within 2#) then fine tuning can be accomplished in a couple ways:</a:t>
              </a:r>
            </a:p>
            <a:p>
              <a:pPr lvl="0"/>
              <a:r>
                <a:rPr lang="en-US" sz="1100" baseline="0">
                  <a:solidFill>
                    <a:schemeClr val="dk1"/>
                  </a:solidFill>
                  <a:latin typeface="+mn-lt"/>
                  <a:ea typeface="+mn-ea"/>
                  <a:cs typeface="+mn-cs"/>
                </a:rPr>
                <a:t>         a.  </a:t>
              </a:r>
              <a:r>
                <a:rPr lang="en-US" sz="1100">
                  <a:solidFill>
                    <a:schemeClr val="dk1"/>
                  </a:solidFill>
                  <a:latin typeface="+mn-lt"/>
                  <a:ea typeface="+mn-ea"/>
                  <a:cs typeface="+mn-cs"/>
                </a:rPr>
                <a:t>Brace Height:  </a:t>
              </a:r>
            </a:p>
            <a:p>
              <a:pPr lvl="0"/>
              <a:r>
                <a:rPr lang="en-US" sz="1100">
                  <a:solidFill>
                    <a:schemeClr val="dk1"/>
                  </a:solidFill>
                  <a:latin typeface="+mn-lt"/>
                  <a:ea typeface="+mn-ea"/>
                  <a:cs typeface="+mn-cs"/>
                </a:rPr>
                <a:t>	-</a:t>
              </a:r>
              <a:r>
                <a:rPr lang="en-US" sz="1100" baseline="0">
                  <a:solidFill>
                    <a:schemeClr val="dk1"/>
                  </a:solidFill>
                  <a:latin typeface="+mn-lt"/>
                  <a:ea typeface="+mn-ea"/>
                  <a:cs typeface="+mn-cs"/>
                </a:rPr>
                <a:t>  </a:t>
              </a:r>
              <a:r>
                <a:rPr lang="en-US" sz="1100">
                  <a:solidFill>
                    <a:schemeClr val="dk1"/>
                  </a:solidFill>
                  <a:latin typeface="+mn-lt"/>
                  <a:ea typeface="+mn-ea"/>
                  <a:cs typeface="+mn-cs"/>
                </a:rPr>
                <a:t>If the arrow is slightly weak (lower dynamic spine) for what the bow needs, then </a:t>
              </a:r>
              <a:r>
                <a:rPr lang="en-US" sz="1100" u="sng">
                  <a:solidFill>
                    <a:schemeClr val="dk1"/>
                  </a:solidFill>
                  <a:latin typeface="+mn-lt"/>
                  <a:ea typeface="+mn-ea"/>
                  <a:cs typeface="+mn-cs"/>
                </a:rPr>
                <a:t>lower</a:t>
              </a:r>
              <a:r>
                <a:rPr lang="en-US" sz="1100">
                  <a:solidFill>
                    <a:schemeClr val="dk1"/>
                  </a:solidFill>
                  <a:latin typeface="+mn-lt"/>
                  <a:ea typeface="+mn-ea"/>
                  <a:cs typeface="+mn-cs"/>
                </a:rPr>
                <a:t> the brace height.</a:t>
              </a:r>
            </a:p>
            <a:p>
              <a:pPr lvl="0"/>
              <a:r>
                <a:rPr lang="en-US" sz="1100">
                  <a:solidFill>
                    <a:schemeClr val="dk1"/>
                  </a:solidFill>
                  <a:latin typeface="+mn-lt"/>
                  <a:ea typeface="+mn-ea"/>
                  <a:cs typeface="+mn-cs"/>
                </a:rPr>
                <a:t>	-  If the arrow is slightly stiff (higher dynamic spine) for what the bow needs, then </a:t>
              </a:r>
              <a:r>
                <a:rPr lang="en-US" sz="1100" u="sng">
                  <a:solidFill>
                    <a:schemeClr val="dk1"/>
                  </a:solidFill>
                  <a:latin typeface="+mn-lt"/>
                  <a:ea typeface="+mn-ea"/>
                  <a:cs typeface="+mn-cs"/>
                </a:rPr>
                <a:t>raise</a:t>
              </a:r>
              <a:r>
                <a:rPr lang="en-US" sz="1100">
                  <a:solidFill>
                    <a:schemeClr val="dk1"/>
                  </a:solidFill>
                  <a:latin typeface="+mn-lt"/>
                  <a:ea typeface="+mn-ea"/>
                  <a:cs typeface="+mn-cs"/>
                </a:rPr>
                <a:t> the brace height.</a:t>
              </a:r>
            </a:p>
            <a:p>
              <a:r>
                <a:rPr lang="en-US" sz="1100">
                  <a:solidFill>
                    <a:schemeClr val="dk1"/>
                  </a:solidFill>
                  <a:latin typeface="+mn-lt"/>
                  <a:ea typeface="+mn-ea"/>
                  <a:cs typeface="+mn-cs"/>
                </a:rPr>
                <a:t>         b.</a:t>
              </a:r>
              <a:r>
                <a:rPr lang="en-US" sz="1100" baseline="0">
                  <a:solidFill>
                    <a:schemeClr val="dk1"/>
                  </a:solidFill>
                  <a:latin typeface="+mn-lt"/>
                  <a:ea typeface="+mn-ea"/>
                  <a:cs typeface="+mn-cs"/>
                </a:rPr>
                <a:t>  </a:t>
              </a:r>
              <a:r>
                <a:rPr lang="en-US" sz="1100">
                  <a:solidFill>
                    <a:schemeClr val="dk1"/>
                  </a:solidFill>
                  <a:latin typeface="+mn-lt"/>
                  <a:ea typeface="+mn-ea"/>
                  <a:cs typeface="+mn-cs"/>
                </a:rPr>
                <a:t>Shelf Cut:</a:t>
              </a:r>
            </a:p>
            <a:p>
              <a:pPr lvl="0"/>
              <a:r>
                <a:rPr lang="en-US" sz="1100">
                  <a:solidFill>
                    <a:schemeClr val="dk1"/>
                  </a:solidFill>
                  <a:latin typeface="+mn-lt"/>
                  <a:ea typeface="+mn-ea"/>
                  <a:cs typeface="+mn-cs"/>
                </a:rPr>
                <a:t>	-  If the arrow is slightly weak (lower dynamic spine) for what the bow needs, then build out the strike plate slightly.  Amount required can be estimated </a:t>
              </a:r>
            </a:p>
            <a:p>
              <a:pPr lvl="0"/>
              <a:r>
                <a:rPr lang="en-US" sz="1100">
                  <a:solidFill>
                    <a:schemeClr val="dk1"/>
                  </a:solidFill>
                  <a:latin typeface="+mn-lt"/>
                  <a:ea typeface="+mn-ea"/>
                  <a:cs typeface="+mn-cs"/>
                </a:rPr>
                <a:t>                                by changing the “Shelf Cut” number in the Bow Input section to match the weaker spine.</a:t>
              </a:r>
            </a:p>
            <a:p>
              <a:pPr lvl="0"/>
              <a:endParaRPr lang="en-US" sz="1100">
                <a:solidFill>
                  <a:schemeClr val="dk1"/>
                </a:solidFill>
                <a:latin typeface="+mn-lt"/>
                <a:ea typeface="+mn-ea"/>
                <a:cs typeface="+mn-cs"/>
              </a:endParaRPr>
            </a:p>
            <a:p>
              <a:r>
                <a:rPr lang="en-US" sz="1100">
                  <a:solidFill>
                    <a:schemeClr val="dk1"/>
                  </a:solidFill>
                  <a:latin typeface="+mn-lt"/>
                  <a:ea typeface="+mn-ea"/>
                  <a:cs typeface="+mn-cs"/>
                </a:rPr>
                <a:t> </a:t>
              </a:r>
            </a:p>
            <a:p>
              <a:r>
                <a:rPr lang="en-US" sz="1600">
                  <a:solidFill>
                    <a:schemeClr val="dk1"/>
                  </a:solidFill>
                  <a:latin typeface="+mn-lt"/>
                  <a:ea typeface="+mn-ea"/>
                  <a:cs typeface="+mn-cs"/>
                </a:rPr>
                <a:t>Instructions for use</a:t>
              </a:r>
            </a:p>
            <a:p>
              <a:r>
                <a:rPr lang="en-US" sz="700">
                  <a:solidFill>
                    <a:schemeClr val="dk1"/>
                  </a:solidFill>
                  <a:latin typeface="+mn-lt"/>
                  <a:ea typeface="+mn-ea"/>
                  <a:cs typeface="+mn-cs"/>
                </a:rPr>
                <a:t> </a:t>
              </a:r>
            </a:p>
            <a:p>
              <a:r>
                <a:rPr lang="en-US" sz="1200" b="1">
                  <a:solidFill>
                    <a:schemeClr val="dk1"/>
                  </a:solidFill>
                  <a:latin typeface="+mn-lt"/>
                  <a:ea typeface="+mn-ea"/>
                  <a:cs typeface="+mn-cs"/>
                </a:rPr>
                <a:t>Enter Arrow Information:</a:t>
              </a:r>
            </a:p>
            <a:p>
              <a:r>
                <a:rPr lang="en-US" sz="1400" b="1" baseline="0">
                  <a:solidFill>
                    <a:srgbClr val="C00000"/>
                  </a:solidFill>
                  <a:latin typeface="+mn-lt"/>
                  <a:ea typeface="+mn-ea"/>
                  <a:cs typeface="+mn-cs"/>
                  <a:sym typeface="Wingdings"/>
                </a:rPr>
                <a:t>           </a:t>
              </a:r>
              <a:r>
                <a:rPr lang="en-US" sz="1400" b="1">
                  <a:solidFill>
                    <a:srgbClr val="C00000"/>
                  </a:solidFill>
                  <a:latin typeface="+mn-lt"/>
                  <a:ea typeface="+mn-ea"/>
                  <a:cs typeface="+mn-cs"/>
                  <a:sym typeface="Wingdings"/>
                </a:rPr>
                <a:t>1</a:t>
              </a:r>
              <a:r>
                <a:rPr lang="en-US" sz="1100">
                  <a:solidFill>
                    <a:schemeClr val="dk1"/>
                  </a:solidFill>
                  <a:latin typeface="+mn-lt"/>
                  <a:ea typeface="+mn-ea"/>
                  <a:cs typeface="+mn-cs"/>
                </a:rPr>
                <a:t>  </a:t>
              </a:r>
              <a:r>
                <a:rPr lang="en-US" sz="1100" u="sng">
                  <a:solidFill>
                    <a:schemeClr val="dk1"/>
                  </a:solidFill>
                  <a:latin typeface="+mn-lt"/>
                  <a:ea typeface="+mn-ea"/>
                  <a:cs typeface="+mn-cs"/>
                </a:rPr>
                <a:t>Arrow Shaft Size </a:t>
              </a:r>
              <a:endParaRPr lang="en-US" sz="1200"/>
            </a:p>
            <a:p>
              <a:r>
                <a:rPr lang="en-US" sz="1100">
                  <a:solidFill>
                    <a:schemeClr val="dk1"/>
                  </a:solidFill>
                  <a:latin typeface="+mn-lt"/>
                  <a:ea typeface="+mn-ea"/>
                  <a:cs typeface="+mn-cs"/>
                </a:rPr>
                <a:t>	Select from the drop down menu the arrow size that will be used.  The menu contains most popular Easton XX75/78 and X7 series arrows.    There are 	also many popular carbon arrow shafts listed.  If you are using a carbon or an aluminum size not shown, then choose “Other” and enter the actual shafts 	</a:t>
              </a:r>
              <a:r>
                <a:rPr lang="en-US" sz="1100" u="sng">
                  <a:solidFill>
                    <a:schemeClr val="dk1"/>
                  </a:solidFill>
                  <a:latin typeface="+mn-lt"/>
                  <a:ea typeface="+mn-ea"/>
                  <a:cs typeface="+mn-cs"/>
                </a:rPr>
                <a:t>static</a:t>
              </a:r>
              <a:r>
                <a:rPr lang="en-US" sz="1100">
                  <a:solidFill>
                    <a:schemeClr val="dk1"/>
                  </a:solidFill>
                  <a:latin typeface="+mn-lt"/>
                  <a:ea typeface="+mn-ea"/>
                  <a:cs typeface="+mn-cs"/>
                </a:rPr>
                <a:t> spine, </a:t>
              </a:r>
              <a:r>
                <a:rPr lang="en-US" sz="1100" u="sng">
                  <a:solidFill>
                    <a:schemeClr val="dk1"/>
                  </a:solidFill>
                  <a:latin typeface="+mn-lt"/>
                  <a:ea typeface="+mn-ea"/>
                  <a:cs typeface="+mn-cs"/>
                </a:rPr>
                <a:t>weight</a:t>
              </a:r>
              <a:r>
                <a:rPr lang="en-US" sz="1100">
                  <a:solidFill>
                    <a:schemeClr val="dk1"/>
                  </a:solidFill>
                  <a:latin typeface="+mn-lt"/>
                  <a:ea typeface="+mn-ea"/>
                  <a:cs typeface="+mn-cs"/>
                </a:rPr>
                <a:t> (GPI), and </a:t>
              </a:r>
              <a:r>
                <a:rPr lang="en-US" sz="1100" u="sng">
                  <a:solidFill>
                    <a:schemeClr val="dk1"/>
                  </a:solidFill>
                  <a:latin typeface="+mn-lt"/>
                  <a:ea typeface="+mn-ea"/>
                  <a:cs typeface="+mn-cs"/>
                </a:rPr>
                <a:t>shaft diameter </a:t>
              </a:r>
              <a:r>
                <a:rPr lang="en-US" sz="1100">
                  <a:solidFill>
                    <a:schemeClr val="dk1"/>
                  </a:solidFill>
                  <a:latin typeface="+mn-lt"/>
                  <a:ea typeface="+mn-ea"/>
                  <a:cs typeface="+mn-cs"/>
                </a:rPr>
                <a:t>in the three boxes directly below.  If you are using a wood shaft select the "Wood Shaft" option and enter the 	same information in the three boxes below.</a:t>
              </a:r>
              <a:endParaRPr lang="en-US" sz="1200"/>
            </a:p>
            <a:p>
              <a:r>
                <a:rPr lang="en-US" sz="1100">
                  <a:solidFill>
                    <a:schemeClr val="dk1"/>
                  </a:solidFill>
                  <a:latin typeface="+mn-lt"/>
                  <a:ea typeface="+mn-ea"/>
                  <a:cs typeface="+mn-cs"/>
                </a:rPr>
                <a:t>	NOTE:</a:t>
              </a:r>
              <a:endParaRPr lang="en-US" sz="1200"/>
            </a:p>
            <a:p>
              <a:r>
                <a:rPr lang="en-US" sz="1100">
                  <a:solidFill>
                    <a:schemeClr val="dk1"/>
                  </a:solidFill>
                  <a:latin typeface="+mn-lt"/>
                  <a:ea typeface="+mn-ea"/>
                  <a:cs typeface="+mn-cs"/>
                </a:rPr>
                <a:t>	</a:t>
              </a:r>
              <a:r>
                <a:rPr lang="en-US" sz="1100" baseline="0">
                  <a:solidFill>
                    <a:schemeClr val="dk1"/>
                  </a:solidFill>
                  <a:latin typeface="+mn-lt"/>
                  <a:ea typeface="+mn-ea"/>
                  <a:cs typeface="+mn-cs"/>
                </a:rPr>
                <a:t>    </a:t>
              </a:r>
              <a:r>
                <a:rPr lang="en-US" sz="1100">
                  <a:solidFill>
                    <a:schemeClr val="dk1"/>
                  </a:solidFill>
                  <a:latin typeface="+mn-lt"/>
                  <a:ea typeface="+mn-ea"/>
                  <a:cs typeface="+mn-cs"/>
                </a:rPr>
                <a:t>A.  The static spine must be per the AMO standard (2# @ 26” centers).  </a:t>
              </a:r>
              <a:r>
                <a:rPr lang="en-US" sz="1100" i="1">
                  <a:solidFill>
                    <a:schemeClr val="dk1"/>
                  </a:solidFill>
                  <a:latin typeface="+mn-lt"/>
                  <a:ea typeface="+mn-ea"/>
                  <a:cs typeface="+mn-cs"/>
                </a:rPr>
                <a:t> </a:t>
              </a:r>
              <a:r>
                <a:rPr lang="en-US" sz="1100" b="1" i="1" u="sng">
                  <a:solidFill>
                    <a:schemeClr val="dk1"/>
                  </a:solidFill>
                  <a:latin typeface="+mn-lt"/>
                  <a:ea typeface="+mn-ea"/>
                  <a:cs typeface="+mn-cs"/>
                </a:rPr>
                <a:t>Most carbon and aluminum arrow manufactures do not report spine in this way.  </a:t>
              </a:r>
              <a:endParaRPr lang="en-US" sz="1200"/>
            </a:p>
            <a:p>
              <a:r>
                <a:rPr lang="en-US" sz="1100" i="1">
                  <a:solidFill>
                    <a:schemeClr val="dk1"/>
                  </a:solidFill>
                  <a:latin typeface="+mn-lt"/>
                  <a:ea typeface="+mn-ea"/>
                  <a:cs typeface="+mn-cs"/>
                </a:rPr>
                <a:t>      	          They</a:t>
              </a:r>
              <a:r>
                <a:rPr lang="en-US" sz="1100" i="1" baseline="0">
                  <a:solidFill>
                    <a:schemeClr val="dk1"/>
                  </a:solidFill>
                  <a:latin typeface="+mn-lt"/>
                  <a:ea typeface="+mn-ea"/>
                  <a:cs typeface="+mn-cs"/>
                </a:rPr>
                <a:t> report </a:t>
              </a:r>
              <a:r>
                <a:rPr lang="en-US" sz="1100" i="1">
                  <a:solidFill>
                    <a:schemeClr val="dk1"/>
                  </a:solidFill>
                  <a:latin typeface="+mn-lt"/>
                  <a:ea typeface="+mn-ea"/>
                  <a:cs typeface="+mn-cs"/>
                </a:rPr>
                <a:t>spine numbers</a:t>
              </a:r>
              <a:r>
                <a:rPr lang="en-US" sz="1100" i="1" baseline="0">
                  <a:solidFill>
                    <a:schemeClr val="dk1"/>
                  </a:solidFill>
                  <a:latin typeface="+mn-lt"/>
                  <a:ea typeface="+mn-ea"/>
                  <a:cs typeface="+mn-cs"/>
                </a:rPr>
                <a:t> based on an ASTM standard</a:t>
              </a:r>
              <a:r>
                <a:rPr lang="en-US" sz="1100" i="1">
                  <a:solidFill>
                    <a:schemeClr val="dk1"/>
                  </a:solidFill>
                  <a:latin typeface="+mn-lt"/>
                  <a:ea typeface="+mn-ea"/>
                  <a:cs typeface="+mn-cs"/>
                </a:rPr>
                <a:t> using 1.94# @ 28” centers.  Convert</a:t>
              </a:r>
              <a:r>
                <a:rPr lang="en-US" sz="1100" i="1" baseline="0">
                  <a:solidFill>
                    <a:schemeClr val="dk1"/>
                  </a:solidFill>
                  <a:latin typeface="+mn-lt"/>
                  <a:ea typeface="+mn-ea"/>
                  <a:cs typeface="+mn-cs"/>
                </a:rPr>
                <a:t> ATSM spine to AMO spine by</a:t>
              </a:r>
              <a:r>
                <a:rPr lang="en-US" sz="1100" i="1">
                  <a:solidFill>
                    <a:schemeClr val="dk1"/>
                  </a:solidFill>
                  <a:latin typeface="+mn-lt"/>
                  <a:ea typeface="+mn-ea"/>
                  <a:cs typeface="+mn-cs"/>
                </a:rPr>
                <a:t> dividing by 0.825.   </a:t>
              </a:r>
              <a:endParaRPr lang="en-US" sz="1200"/>
            </a:p>
            <a:p>
              <a:r>
                <a:rPr lang="en-US" sz="1100" i="1">
                  <a:solidFill>
                    <a:schemeClr val="dk1"/>
                  </a:solidFill>
                  <a:latin typeface="+mn-lt"/>
                  <a:ea typeface="+mn-ea"/>
                  <a:cs typeface="+mn-cs"/>
                </a:rPr>
                <a:t>       	          A static spine converter</a:t>
              </a:r>
              <a:r>
                <a:rPr lang="en-US" sz="1100" i="1" baseline="0">
                  <a:solidFill>
                    <a:schemeClr val="dk1"/>
                  </a:solidFill>
                  <a:latin typeface="+mn-lt"/>
                  <a:ea typeface="+mn-ea"/>
                  <a:cs typeface="+mn-cs"/>
                </a:rPr>
                <a:t> is included  above and is useful if the specific shafts deflection is known.</a:t>
              </a:r>
              <a:endParaRPr lang="en-US" sz="1100">
                <a:solidFill>
                  <a:schemeClr val="dk1"/>
                </a:solidFill>
                <a:latin typeface="+mn-lt"/>
                <a:ea typeface="+mn-ea"/>
                <a:cs typeface="+mn-cs"/>
              </a:endParaRPr>
            </a:p>
            <a:p>
              <a:pPr eaLnBrk="1" fontAlgn="auto" latinLnBrk="0" hangingPunct="1"/>
              <a:r>
                <a:rPr lang="en-US" sz="1100">
                  <a:solidFill>
                    <a:schemeClr val="dk1"/>
                  </a:solidFill>
                  <a:latin typeface="+mn-lt"/>
                  <a:ea typeface="+mn-ea"/>
                  <a:cs typeface="+mn-cs"/>
                </a:rPr>
                <a:t>	    B.  The weight should be entered in grains per inch (GPI) of the bare shaft.    If a weight tube</a:t>
              </a:r>
              <a:r>
                <a:rPr lang="en-US" sz="1100" baseline="0">
                  <a:solidFill>
                    <a:schemeClr val="dk1"/>
                  </a:solidFill>
                  <a:latin typeface="+mn-lt"/>
                  <a:ea typeface="+mn-ea"/>
                  <a:cs typeface="+mn-cs"/>
                </a:rPr>
                <a:t> </a:t>
              </a:r>
              <a:r>
                <a:rPr lang="en-US" sz="1100">
                  <a:solidFill>
                    <a:schemeClr val="dk1"/>
                  </a:solidFill>
                  <a:latin typeface="+mn-lt"/>
                  <a:ea typeface="+mn-ea"/>
                  <a:cs typeface="+mn-cs"/>
                </a:rPr>
                <a:t>that runs the entire length of the shaft is being used them </a:t>
              </a:r>
            </a:p>
            <a:p>
              <a:pPr eaLnBrk="1" fontAlgn="auto" latinLnBrk="0" hangingPunct="1"/>
              <a:r>
                <a:rPr lang="en-US" sz="1100">
                  <a:solidFill>
                    <a:schemeClr val="dk1"/>
                  </a:solidFill>
                  <a:latin typeface="+mn-lt"/>
                  <a:ea typeface="+mn-ea"/>
                  <a:cs typeface="+mn-cs"/>
                </a:rPr>
                <a:t>                                       make sure</a:t>
              </a:r>
              <a:r>
                <a:rPr lang="en-US" sz="1100" baseline="0">
                  <a:solidFill>
                    <a:schemeClr val="dk1"/>
                  </a:solidFill>
                  <a:latin typeface="+mn-lt"/>
                  <a:ea typeface="+mn-ea"/>
                  <a:cs typeface="+mn-cs"/>
                </a:rPr>
                <a:t> to combine it's GPI with that of the shaft itself</a:t>
              </a:r>
              <a:r>
                <a:rPr lang="en-US" sz="1100">
                  <a:solidFill>
                    <a:schemeClr val="dk1"/>
                  </a:solidFill>
                  <a:latin typeface="+mn-lt"/>
                  <a:ea typeface="+mn-ea"/>
                  <a:cs typeface="+mn-cs"/>
                </a:rPr>
                <a:t>.  This will affect the dynamic spine of the arrow.</a:t>
              </a:r>
              <a:endParaRPr lang="en-US" sz="1200"/>
            </a:p>
            <a:p>
              <a:pPr eaLnBrk="1" fontAlgn="auto" latinLnBrk="0" hangingPunct="1"/>
              <a:r>
                <a:rPr lang="en-US" sz="1100">
                  <a:solidFill>
                    <a:schemeClr val="dk1"/>
                  </a:solidFill>
                  <a:latin typeface="+mn-lt"/>
                  <a:ea typeface="+mn-ea"/>
                  <a:cs typeface="+mn-cs"/>
                </a:rPr>
                <a:t>	    C.  Enter the outside diameter of the shaft in inches (ex:0.344)  </a:t>
              </a:r>
              <a:endParaRPr lang="en-US" sz="1100" i="1">
                <a:solidFill>
                  <a:schemeClr val="dk1"/>
                </a:solidFill>
                <a:latin typeface="+mn-lt"/>
                <a:ea typeface="+mn-ea"/>
                <a:cs typeface="+mn-cs"/>
              </a:endParaRPr>
            </a:p>
            <a:p>
              <a:r>
                <a:rPr lang="en-US" sz="1400" b="1">
                  <a:solidFill>
                    <a:srgbClr val="C00000"/>
                  </a:solidFill>
                  <a:latin typeface="+mn-lt"/>
                  <a:ea typeface="+mn-ea"/>
                  <a:cs typeface="+mn-cs"/>
                  <a:sym typeface="Wingdings"/>
                </a:rPr>
                <a:t>           2</a:t>
              </a:r>
              <a:r>
                <a:rPr lang="en-US" sz="1100">
                  <a:solidFill>
                    <a:schemeClr val="dk1"/>
                  </a:solidFill>
                  <a:latin typeface="+mn-lt"/>
                  <a:ea typeface="+mn-ea"/>
                  <a:cs typeface="+mn-cs"/>
                </a:rPr>
                <a:t>  </a:t>
              </a:r>
              <a:r>
                <a:rPr lang="en-US" sz="1100" u="sng">
                  <a:solidFill>
                    <a:schemeClr val="dk1"/>
                  </a:solidFill>
                  <a:latin typeface="+mn-lt"/>
                  <a:ea typeface="+mn-ea"/>
                  <a:cs typeface="+mn-cs"/>
                </a:rPr>
                <a:t>BOP Length</a:t>
              </a:r>
              <a:r>
                <a:rPr lang="en-US" sz="1100">
                  <a:solidFill>
                    <a:schemeClr val="dk1"/>
                  </a:solidFill>
                  <a:latin typeface="+mn-lt"/>
                  <a:ea typeface="+mn-ea"/>
                  <a:cs typeface="+mn-cs"/>
                </a:rPr>
                <a:t> </a:t>
              </a:r>
              <a:endParaRPr lang="en-US" sz="1200"/>
            </a:p>
            <a:p>
              <a:r>
                <a:rPr lang="en-US" sz="1100">
                  <a:solidFill>
                    <a:schemeClr val="dk1"/>
                  </a:solidFill>
                  <a:latin typeface="+mn-lt"/>
                  <a:ea typeface="+mn-ea"/>
                  <a:cs typeface="+mn-cs"/>
                </a:rPr>
                <a:t>	Enter the </a:t>
              </a:r>
              <a:r>
                <a:rPr lang="en-US" sz="1100" u="sng">
                  <a:solidFill>
                    <a:schemeClr val="dk1"/>
                  </a:solidFill>
                  <a:latin typeface="+mn-lt"/>
                  <a:ea typeface="+mn-ea"/>
                  <a:cs typeface="+mn-cs"/>
                </a:rPr>
                <a:t>B</a:t>
              </a:r>
              <a:r>
                <a:rPr lang="en-US" sz="1100">
                  <a:solidFill>
                    <a:schemeClr val="dk1"/>
                  </a:solidFill>
                  <a:latin typeface="+mn-lt"/>
                  <a:ea typeface="+mn-ea"/>
                  <a:cs typeface="+mn-cs"/>
                </a:rPr>
                <a:t>ack </a:t>
              </a:r>
              <a:r>
                <a:rPr lang="en-US" sz="1100" u="sng">
                  <a:solidFill>
                    <a:schemeClr val="dk1"/>
                  </a:solidFill>
                  <a:latin typeface="+mn-lt"/>
                  <a:ea typeface="+mn-ea"/>
                  <a:cs typeface="+mn-cs"/>
                </a:rPr>
                <a:t>O</a:t>
              </a:r>
              <a:r>
                <a:rPr lang="en-US" sz="1100">
                  <a:solidFill>
                    <a:schemeClr val="dk1"/>
                  </a:solidFill>
                  <a:latin typeface="+mn-lt"/>
                  <a:ea typeface="+mn-ea"/>
                  <a:cs typeface="+mn-cs"/>
                </a:rPr>
                <a:t>f </a:t>
              </a:r>
              <a:r>
                <a:rPr lang="en-US" sz="1100" u="sng">
                  <a:solidFill>
                    <a:schemeClr val="dk1"/>
                  </a:solidFill>
                  <a:latin typeface="+mn-lt"/>
                  <a:ea typeface="+mn-ea"/>
                  <a:cs typeface="+mn-cs"/>
                </a:rPr>
                <a:t>P</a:t>
              </a:r>
              <a:r>
                <a:rPr lang="en-US" sz="1100">
                  <a:solidFill>
                    <a:schemeClr val="dk1"/>
                  </a:solidFill>
                  <a:latin typeface="+mn-lt"/>
                  <a:ea typeface="+mn-ea"/>
                  <a:cs typeface="+mn-cs"/>
                </a:rPr>
                <a:t>oint shaft length.  This is the length from the back of the point (BOP) to the bottom of the arrow nock groove where the string touches.  </a:t>
              </a:r>
            </a:p>
            <a:p>
              <a:pPr marL="0" marR="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latin typeface="+mn-lt"/>
                  <a:ea typeface="+mn-ea"/>
                  <a:cs typeface="+mn-cs"/>
                </a:rPr>
                <a:t>              </a:t>
              </a:r>
              <a:r>
                <a:rPr lang="en-US" sz="1400" b="1">
                  <a:solidFill>
                    <a:srgbClr val="C00000"/>
                  </a:solidFill>
                  <a:latin typeface="+mn-lt"/>
                  <a:ea typeface="+mn-ea"/>
                  <a:cs typeface="+mn-cs"/>
                  <a:sym typeface="Wingdings"/>
                </a:rPr>
                <a:t>3</a:t>
              </a:r>
              <a:r>
                <a:rPr lang="en-US" sz="1100">
                  <a:solidFill>
                    <a:schemeClr val="dk1"/>
                  </a:solidFill>
                  <a:latin typeface="+mn-lt"/>
                  <a:ea typeface="+mn-ea"/>
                  <a:cs typeface="+mn-cs"/>
                </a:rPr>
                <a:t>  </a:t>
              </a:r>
              <a:r>
                <a:rPr lang="en-US" sz="1100" u="sng">
                  <a:solidFill>
                    <a:schemeClr val="dk1"/>
                  </a:solidFill>
                  <a:latin typeface="+mn-lt"/>
                  <a:ea typeface="+mn-ea"/>
                  <a:cs typeface="+mn-cs"/>
                </a:rPr>
                <a:t>Point Weight</a:t>
              </a:r>
              <a:r>
                <a:rPr lang="en-US" sz="1100">
                  <a:solidFill>
                    <a:schemeClr val="dk1"/>
                  </a:solidFill>
                  <a:latin typeface="+mn-lt"/>
                  <a:ea typeface="+mn-ea"/>
                  <a:cs typeface="+mn-cs"/>
                </a:rPr>
                <a:t> </a:t>
              </a:r>
              <a:endParaRPr lang="en-US" sz="1200"/>
            </a:p>
            <a:p>
              <a:r>
                <a:rPr lang="en-US" sz="1100">
                  <a:solidFill>
                    <a:schemeClr val="dk1"/>
                  </a:solidFill>
                  <a:latin typeface="+mn-lt"/>
                  <a:ea typeface="+mn-ea"/>
                  <a:cs typeface="+mn-cs"/>
                </a:rPr>
                <a:t>	Enter the point weight that will be used. </a:t>
              </a:r>
              <a:endParaRPr lang="en-US" sz="1100" i="1" baseline="0">
                <a:solidFill>
                  <a:schemeClr val="dk1"/>
                </a:solidFill>
                <a:latin typeface="+mn-lt"/>
                <a:ea typeface="+mn-ea"/>
                <a:cs typeface="+mn-cs"/>
              </a:endParaRPr>
            </a:p>
            <a:p>
              <a:pPr eaLnBrk="1" fontAlgn="auto" latinLnBrk="0" hangingPunct="1"/>
              <a:r>
                <a:rPr lang="en-US" sz="1100" b="1" baseline="0">
                  <a:solidFill>
                    <a:schemeClr val="dk1"/>
                  </a:solidFill>
                  <a:latin typeface="+mn-lt"/>
                  <a:ea typeface="+mn-ea"/>
                  <a:cs typeface="+mn-cs"/>
                </a:rPr>
                <a:t>          </a:t>
              </a:r>
              <a:r>
                <a:rPr lang="en-US" sz="1400" b="1">
                  <a:solidFill>
                    <a:srgbClr val="C00000"/>
                  </a:solidFill>
                  <a:latin typeface="+mn-lt"/>
                  <a:ea typeface="+mn-ea"/>
                  <a:cs typeface="+mn-cs"/>
                  <a:sym typeface="Wingdings"/>
                </a:rPr>
                <a:t>  </a:t>
              </a:r>
              <a:r>
                <a:rPr lang="en-US" sz="1400" b="1" baseline="0">
                  <a:solidFill>
                    <a:srgbClr val="C00000"/>
                  </a:solidFill>
                  <a:latin typeface="+mn-lt"/>
                  <a:ea typeface="+mn-ea"/>
                  <a:cs typeface="+mn-cs"/>
                  <a:sym typeface="Wingdings"/>
                </a:rPr>
                <a:t> </a:t>
              </a:r>
              <a:r>
                <a:rPr lang="en-US" sz="1400" b="1">
                  <a:solidFill>
                    <a:srgbClr val="C00000"/>
                  </a:solidFill>
                  <a:latin typeface="+mn-lt"/>
                  <a:ea typeface="+mn-ea"/>
                  <a:cs typeface="+mn-cs"/>
                  <a:sym typeface="Wingdings"/>
                </a:rPr>
                <a:t>4  </a:t>
              </a:r>
              <a:r>
                <a:rPr lang="en-US" sz="1100" u="sng">
                  <a:solidFill>
                    <a:schemeClr val="dk1"/>
                  </a:solidFill>
                  <a:latin typeface="+mn-lt"/>
                  <a:ea typeface="+mn-ea"/>
                  <a:cs typeface="+mn-cs"/>
                  <a:sym typeface="Wingdings"/>
                </a:rPr>
                <a:t>Insert Weight</a:t>
              </a:r>
            </a:p>
            <a:p>
              <a:pPr eaLnBrk="1" fontAlgn="auto" latinLnBrk="0" hangingPunct="1"/>
              <a:r>
                <a:rPr lang="en-US" sz="1100" u="none">
                  <a:solidFill>
                    <a:schemeClr val="dk1"/>
                  </a:solidFill>
                  <a:latin typeface="+mn-lt"/>
                  <a:ea typeface="+mn-ea"/>
                  <a:cs typeface="+mn-cs"/>
                  <a:sym typeface="Wingdings"/>
                </a:rPr>
                <a:t>	Enter the weight of the insert being used on an aluminum</a:t>
              </a:r>
              <a:r>
                <a:rPr lang="en-US" sz="1100" u="none" baseline="0">
                  <a:solidFill>
                    <a:schemeClr val="dk1"/>
                  </a:solidFill>
                  <a:latin typeface="+mn-lt"/>
                  <a:ea typeface="+mn-ea"/>
                  <a:cs typeface="+mn-cs"/>
                  <a:sym typeface="Wingdings"/>
                </a:rPr>
                <a:t> or carbon shaft.</a:t>
              </a:r>
              <a:r>
                <a:rPr lang="en-US" sz="1100">
                  <a:solidFill>
                    <a:schemeClr val="dk1"/>
                  </a:solidFill>
                  <a:latin typeface="+mn-lt"/>
                  <a:ea typeface="+mn-ea"/>
                  <a:cs typeface="+mn-cs"/>
                </a:rPr>
                <a:t>  </a:t>
              </a:r>
            </a:p>
            <a:p>
              <a:pPr eaLnBrk="1" fontAlgn="auto" latinLnBrk="0" hangingPunct="1"/>
              <a:r>
                <a:rPr lang="en-US" sz="1100" i="1">
                  <a:solidFill>
                    <a:schemeClr val="dk1"/>
                  </a:solidFill>
                  <a:latin typeface="+mn-lt"/>
                  <a:ea typeface="+mn-ea"/>
                  <a:cs typeface="+mn-cs"/>
                </a:rPr>
                <a:t>	Ex: 5/16" aluminum</a:t>
              </a:r>
              <a:r>
                <a:rPr lang="en-US" sz="1100" i="1" baseline="0">
                  <a:solidFill>
                    <a:schemeClr val="dk1"/>
                  </a:solidFill>
                  <a:latin typeface="+mn-lt"/>
                  <a:ea typeface="+mn-ea"/>
                  <a:cs typeface="+mn-cs"/>
                </a:rPr>
                <a:t> insert weighs ~16 grains, a 11/32" aluminum insert weighs ~ 30 grains.   CE 150 insert weighs 11 grains .</a:t>
              </a:r>
            </a:p>
            <a:p>
              <a:pPr eaLnBrk="1" fontAlgn="auto" latinLnBrk="0" hangingPunct="1"/>
              <a:r>
                <a:rPr lang="en-US" sz="1100">
                  <a:solidFill>
                    <a:schemeClr val="dk1"/>
                  </a:solidFill>
                  <a:latin typeface="+mn-lt"/>
                  <a:ea typeface="+mn-ea"/>
                  <a:cs typeface="+mn-cs"/>
                </a:rPr>
                <a:t>	Remember to also take into account any weights that are added behind the insert. </a:t>
              </a:r>
              <a:endParaRPr lang="en-US" sz="1100" u="none">
                <a:solidFill>
                  <a:schemeClr val="dk1"/>
                </a:solidFill>
                <a:latin typeface="+mn-lt"/>
                <a:ea typeface="+mn-ea"/>
                <a:cs typeface="+mn-cs"/>
                <a:sym typeface="Wingdings"/>
              </a:endParaRPr>
            </a:p>
            <a:p>
              <a:pPr eaLnBrk="1" fontAlgn="auto" latinLnBrk="0" hangingPunct="1"/>
              <a:r>
                <a:rPr lang="en-US" sz="1400" b="1" u="none">
                  <a:solidFill>
                    <a:srgbClr val="C00000"/>
                  </a:solidFill>
                  <a:latin typeface="+mn-lt"/>
                  <a:ea typeface="+mn-ea"/>
                  <a:cs typeface="+mn-cs"/>
                  <a:sym typeface="Wingdings"/>
                </a:rPr>
                <a:t>           5</a:t>
              </a:r>
              <a:r>
                <a:rPr lang="en-US" sz="1400" b="1" u="none" baseline="0">
                  <a:solidFill>
                    <a:srgbClr val="C00000"/>
                  </a:solidFill>
                  <a:latin typeface="+mn-lt"/>
                  <a:ea typeface="+mn-ea"/>
                  <a:cs typeface="+mn-cs"/>
                  <a:sym typeface="Wingdings"/>
                </a:rPr>
                <a:t>  </a:t>
              </a:r>
              <a:r>
                <a:rPr lang="en-US" sz="1100" u="sng">
                  <a:solidFill>
                    <a:schemeClr val="dk1"/>
                  </a:solidFill>
                  <a:latin typeface="+mn-lt"/>
                  <a:ea typeface="+mn-ea"/>
                  <a:cs typeface="+mn-cs"/>
                </a:rPr>
                <a:t>Footing</a:t>
              </a:r>
              <a:endParaRPr lang="en-US" sz="1200"/>
            </a:p>
            <a:p>
              <a:r>
                <a:rPr lang="en-US" sz="1100">
                  <a:solidFill>
                    <a:schemeClr val="dk1"/>
                  </a:solidFill>
                  <a:latin typeface="+mn-lt"/>
                  <a:ea typeface="+mn-ea"/>
                  <a:cs typeface="+mn-cs"/>
                </a:rPr>
                <a:t>	If an </a:t>
              </a:r>
              <a:r>
                <a:rPr lang="en-US" sz="1100" u="sng">
                  <a:solidFill>
                    <a:schemeClr val="dk1"/>
                  </a:solidFill>
                  <a:latin typeface="+mn-lt"/>
                  <a:ea typeface="+mn-ea"/>
                  <a:cs typeface="+mn-cs"/>
                </a:rPr>
                <a:t>internal</a:t>
              </a:r>
              <a:r>
                <a:rPr lang="en-US" sz="1100">
                  <a:solidFill>
                    <a:schemeClr val="dk1"/>
                  </a:solidFill>
                  <a:latin typeface="+mn-lt"/>
                  <a:ea typeface="+mn-ea"/>
                  <a:cs typeface="+mn-cs"/>
                </a:rPr>
                <a:t> OR </a:t>
              </a:r>
              <a:r>
                <a:rPr lang="en-US" sz="1100" u="sng">
                  <a:solidFill>
                    <a:schemeClr val="dk1"/>
                  </a:solidFill>
                  <a:latin typeface="+mn-lt"/>
                  <a:ea typeface="+mn-ea"/>
                  <a:cs typeface="+mn-cs"/>
                </a:rPr>
                <a:t>external</a:t>
              </a:r>
              <a:r>
                <a:rPr lang="en-US" sz="1100">
                  <a:solidFill>
                    <a:schemeClr val="dk1"/>
                  </a:solidFill>
                  <a:latin typeface="+mn-lt"/>
                  <a:ea typeface="+mn-ea"/>
                  <a:cs typeface="+mn-cs"/>
                </a:rPr>
                <a:t> footing is being utilized then select "YES" from the drop down menu.  In the boxes below enter the length of the footing in inches 	and</a:t>
              </a:r>
              <a:r>
                <a:rPr lang="en-US" sz="1100" baseline="0">
                  <a:solidFill>
                    <a:schemeClr val="dk1"/>
                  </a:solidFill>
                  <a:latin typeface="+mn-lt"/>
                  <a:ea typeface="+mn-ea"/>
                  <a:cs typeface="+mn-cs"/>
                </a:rPr>
                <a:t> also the total weight of the footing.  </a:t>
              </a:r>
            </a:p>
            <a:p>
              <a:r>
                <a:rPr lang="en-US" sz="1100" baseline="0">
                  <a:solidFill>
                    <a:schemeClr val="dk1"/>
                  </a:solidFill>
                  <a:latin typeface="+mn-lt"/>
                  <a:ea typeface="+mn-ea"/>
                  <a:cs typeface="+mn-cs"/>
                </a:rPr>
                <a:t>	   -  An example of an internal footing would be any insert with a length greater than 0.9" (std. insert length).  In that case enter the amount greater than</a:t>
              </a:r>
            </a:p>
            <a:p>
              <a:r>
                <a:rPr lang="en-US" sz="1100" baseline="0">
                  <a:solidFill>
                    <a:schemeClr val="dk1"/>
                  </a:solidFill>
                  <a:latin typeface="+mn-lt"/>
                  <a:ea typeface="+mn-ea"/>
                  <a:cs typeface="+mn-cs"/>
                </a:rPr>
                <a:t>	       the 0.9" that is already accounted for automatically.  </a:t>
              </a:r>
            </a:p>
            <a:p>
              <a:r>
                <a:rPr lang="en-US" sz="1100" baseline="0">
                  <a:solidFill>
                    <a:schemeClr val="dk1"/>
                  </a:solidFill>
                  <a:latin typeface="+mn-lt"/>
                  <a:ea typeface="+mn-ea"/>
                  <a:cs typeface="+mn-cs"/>
                </a:rPr>
                <a:t>	   -  An example of an external footing would include be an aluminum shaft glued over the outside of a carbon shaft.  In the case of an external footing enter </a:t>
              </a:r>
            </a:p>
            <a:p>
              <a:r>
                <a:rPr lang="en-US" sz="1100" baseline="0">
                  <a:solidFill>
                    <a:schemeClr val="dk1"/>
                  </a:solidFill>
                  <a:latin typeface="+mn-lt"/>
                  <a:ea typeface="+mn-ea"/>
                  <a:cs typeface="+mn-cs"/>
                </a:rPr>
                <a:t>	       the total length and actual weight.</a:t>
              </a:r>
              <a:endParaRPr lang="en-US" sz="1100">
                <a:solidFill>
                  <a:schemeClr val="dk1"/>
                </a:solidFill>
                <a:latin typeface="+mn-lt"/>
                <a:ea typeface="+mn-ea"/>
                <a:cs typeface="+mn-cs"/>
              </a:endParaRPr>
            </a:p>
            <a:p>
              <a:r>
                <a:rPr lang="en-US" sz="1400" b="1">
                  <a:solidFill>
                    <a:srgbClr val="C00000"/>
                  </a:solidFill>
                  <a:latin typeface="+mn-lt"/>
                  <a:ea typeface="+mn-ea"/>
                  <a:cs typeface="+mn-cs"/>
                  <a:sym typeface="Wingdings"/>
                </a:rPr>
                <a:t>           6</a:t>
              </a:r>
              <a:r>
                <a:rPr lang="en-US" sz="1100">
                  <a:solidFill>
                    <a:schemeClr val="dk1"/>
                  </a:solidFill>
                  <a:latin typeface="+mn-lt"/>
                  <a:ea typeface="+mn-ea"/>
                  <a:cs typeface="+mn-cs"/>
                </a:rPr>
                <a:t>  </a:t>
              </a:r>
              <a:r>
                <a:rPr lang="en-US" sz="1100" u="sng" baseline="0">
                  <a:solidFill>
                    <a:schemeClr val="dk1"/>
                  </a:solidFill>
                  <a:latin typeface="+mn-lt"/>
                  <a:ea typeface="+mn-ea"/>
                  <a:cs typeface="+mn-cs"/>
                </a:rPr>
                <a:t>Nock End Weight</a:t>
              </a:r>
              <a:endParaRPr lang="en-US" sz="1200"/>
            </a:p>
            <a:p>
              <a:r>
                <a:rPr lang="en-US" sz="1100">
                  <a:solidFill>
                    <a:schemeClr val="dk1"/>
                  </a:solidFill>
                  <a:latin typeface="+mn-lt"/>
                  <a:ea typeface="+mn-ea"/>
                  <a:cs typeface="+mn-cs"/>
                </a:rPr>
                <a:t>	Enter the total weight of the nock and/or nock insert.  If an arrow crown wrap is being used then it weight should also be added. </a:t>
              </a:r>
            </a:p>
            <a:p>
              <a:r>
                <a:rPr lang="en-US" sz="1100" i="1">
                  <a:solidFill>
                    <a:schemeClr val="dk1"/>
                  </a:solidFill>
                  <a:latin typeface="+mn-lt"/>
                  <a:ea typeface="+mn-ea"/>
                  <a:cs typeface="+mn-cs"/>
                </a:rPr>
                <a:t>	Ex: A 11/32"</a:t>
              </a:r>
              <a:r>
                <a:rPr lang="en-US" sz="1100" i="1" baseline="0">
                  <a:solidFill>
                    <a:schemeClr val="dk1"/>
                  </a:solidFill>
                  <a:latin typeface="+mn-lt"/>
                  <a:ea typeface="+mn-ea"/>
                  <a:cs typeface="+mn-cs"/>
                </a:rPr>
                <a:t> Bohning Classic Nock weighs 13.5 grains.   A CE Nock weighs 9.8 grains.   A wrap typically runs between 6  to 15 grains.</a:t>
              </a:r>
              <a:endParaRPr lang="en-US" sz="1100">
                <a:solidFill>
                  <a:schemeClr val="dk1"/>
                </a:solidFill>
                <a:latin typeface="+mn-lt"/>
                <a:ea typeface="+mn-ea"/>
                <a:cs typeface="+mn-cs"/>
              </a:endParaRPr>
            </a:p>
            <a:p>
              <a:r>
                <a:rPr lang="en-US" sz="1400" b="1">
                  <a:solidFill>
                    <a:srgbClr val="C00000"/>
                  </a:solidFill>
                  <a:latin typeface="+mn-lt"/>
                  <a:ea typeface="+mn-ea"/>
                  <a:cs typeface="+mn-cs"/>
                  <a:sym typeface="Wingdings"/>
                </a:rPr>
                <a:t>           7</a:t>
              </a:r>
              <a:r>
                <a:rPr lang="en-US" sz="1100">
                  <a:solidFill>
                    <a:schemeClr val="dk1"/>
                  </a:solidFill>
                  <a:latin typeface="+mn-lt"/>
                  <a:ea typeface="+mn-ea"/>
                  <a:cs typeface="+mn-cs"/>
                </a:rPr>
                <a:t>  </a:t>
              </a:r>
              <a:r>
                <a:rPr lang="en-US" sz="1100" u="sng">
                  <a:solidFill>
                    <a:schemeClr val="dk1"/>
                  </a:solidFill>
                  <a:latin typeface="+mn-lt"/>
                  <a:ea typeface="+mn-ea"/>
                  <a:cs typeface="+mn-cs"/>
                </a:rPr>
                <a:t>Fletching </a:t>
              </a:r>
              <a:endParaRPr lang="en-US" sz="1200"/>
            </a:p>
            <a:p>
              <a:r>
                <a:rPr lang="en-US" sz="1100">
                  <a:solidFill>
                    <a:schemeClr val="dk1"/>
                  </a:solidFill>
                  <a:latin typeface="+mn-lt"/>
                  <a:ea typeface="+mn-ea"/>
                  <a:cs typeface="+mn-cs"/>
                </a:rPr>
                <a:t>	Select from the drop down menu the type of fletching that will be used.  The calculations assumes the std. weight of Trueflight feathers or a total of </a:t>
              </a:r>
            </a:p>
            <a:p>
              <a:r>
                <a:rPr lang="en-US" sz="1100">
                  <a:solidFill>
                    <a:schemeClr val="dk1"/>
                  </a:solidFill>
                  <a:latin typeface="+mn-lt"/>
                  <a:ea typeface="+mn-ea"/>
                  <a:cs typeface="+mn-cs"/>
                </a:rPr>
                <a:t>	32 grains</a:t>
              </a:r>
              <a:r>
                <a:rPr lang="en-US" sz="1100" baseline="0">
                  <a:solidFill>
                    <a:schemeClr val="dk1"/>
                  </a:solidFill>
                  <a:latin typeface="+mn-lt"/>
                  <a:ea typeface="+mn-ea"/>
                  <a:cs typeface="+mn-cs"/>
                </a:rPr>
                <a:t> for three generic</a:t>
              </a:r>
              <a:r>
                <a:rPr lang="en-US" sz="1100">
                  <a:solidFill>
                    <a:schemeClr val="dk1"/>
                  </a:solidFill>
                  <a:latin typeface="+mn-lt"/>
                  <a:ea typeface="+mn-ea"/>
                  <a:cs typeface="+mn-cs"/>
                </a:rPr>
                <a:t>  4” vanes.  If a specific vane is used that</a:t>
              </a:r>
              <a:r>
                <a:rPr lang="en-US" sz="1100" baseline="0">
                  <a:solidFill>
                    <a:schemeClr val="dk1"/>
                  </a:solidFill>
                  <a:latin typeface="+mn-lt"/>
                  <a:ea typeface="+mn-ea"/>
                  <a:cs typeface="+mn-cs"/>
                </a:rPr>
                <a:t> differs from this weight then simply add/subtract the difference from the Nock End 	Weight.</a:t>
              </a:r>
              <a:endParaRPr lang="en-US" sz="1200"/>
            </a:p>
            <a:p>
              <a:r>
                <a:rPr lang="en-US" sz="1100">
                  <a:solidFill>
                    <a:schemeClr val="dk1"/>
                  </a:solidFill>
                  <a:latin typeface="+mn-lt"/>
                  <a:ea typeface="+mn-ea"/>
                  <a:cs typeface="+mn-cs"/>
                </a:rPr>
                <a:t>  </a:t>
              </a:r>
              <a:endParaRPr lang="en-US" sz="1200"/>
            </a:p>
            <a:p>
              <a:r>
                <a:rPr lang="en-US" sz="1100" b="1">
                  <a:solidFill>
                    <a:schemeClr val="dk1"/>
                  </a:solidFill>
                  <a:latin typeface="+mn-lt"/>
                  <a:ea typeface="+mn-ea"/>
                  <a:cs typeface="+mn-cs"/>
                </a:rPr>
                <a:t> </a:t>
              </a:r>
              <a:r>
                <a:rPr lang="en-US" sz="1200" b="1">
                  <a:solidFill>
                    <a:schemeClr val="dk1"/>
                  </a:solidFill>
                  <a:latin typeface="+mn-lt"/>
                  <a:ea typeface="+mn-ea"/>
                  <a:cs typeface="+mn-cs"/>
                </a:rPr>
                <a:t>Arrow</a:t>
              </a:r>
              <a:r>
                <a:rPr lang="en-US" sz="1100" b="1" baseline="0">
                  <a:solidFill>
                    <a:schemeClr val="dk1"/>
                  </a:solidFill>
                  <a:latin typeface="+mn-lt"/>
                  <a:ea typeface="+mn-ea"/>
                  <a:cs typeface="+mn-cs"/>
                </a:rPr>
                <a:t> </a:t>
              </a:r>
              <a:r>
                <a:rPr lang="en-US" sz="1200" b="1">
                  <a:solidFill>
                    <a:schemeClr val="dk1"/>
                  </a:solidFill>
                  <a:latin typeface="+mn-lt"/>
                  <a:ea typeface="+mn-ea"/>
                  <a:cs typeface="+mn-cs"/>
                </a:rPr>
                <a:t>Results:</a:t>
              </a:r>
            </a:p>
            <a:p>
              <a:r>
                <a:rPr lang="en-US" sz="1100" b="1" u="none" baseline="0">
                  <a:solidFill>
                    <a:schemeClr val="dk1"/>
                  </a:solidFill>
                  <a:latin typeface="+mn-lt"/>
                  <a:ea typeface="+mn-ea"/>
                  <a:cs typeface="+mn-cs"/>
                </a:rPr>
                <a:t>           </a:t>
              </a:r>
              <a:r>
                <a:rPr lang="en-US" sz="1100" u="sng">
                  <a:solidFill>
                    <a:schemeClr val="dk1"/>
                  </a:solidFill>
                  <a:latin typeface="+mn-lt"/>
                  <a:ea typeface="+mn-ea"/>
                  <a:cs typeface="+mn-cs"/>
                </a:rPr>
                <a:t>Total Weight</a:t>
              </a:r>
              <a:r>
                <a:rPr lang="en-US" sz="1100">
                  <a:solidFill>
                    <a:schemeClr val="dk1"/>
                  </a:solidFill>
                  <a:latin typeface="+mn-lt"/>
                  <a:ea typeface="+mn-ea"/>
                  <a:cs typeface="+mn-cs"/>
                </a:rPr>
                <a:t> </a:t>
              </a:r>
              <a:endParaRPr lang="en-US" sz="1200"/>
            </a:p>
            <a:p>
              <a:r>
                <a:rPr lang="en-US" sz="1100">
                  <a:solidFill>
                    <a:schemeClr val="dk1"/>
                  </a:solidFill>
                  <a:latin typeface="+mn-lt"/>
                  <a:ea typeface="+mn-ea"/>
                  <a:cs typeface="+mn-cs"/>
                </a:rPr>
                <a:t>	The assembled arrow's final weight is automatically calculated and displayed in this box. Aluminum and carbon weights will be very accurate.  Wood arrow 	finishes are not accounted for due the variability of types and application techniques.  If desired, this additional weight should be added to the total for wood 	shafts (</a:t>
              </a:r>
              <a:r>
                <a:rPr lang="en-US" sz="1100" i="1">
                  <a:solidFill>
                    <a:schemeClr val="dk1"/>
                  </a:solidFill>
                  <a:latin typeface="+mn-lt"/>
                  <a:ea typeface="+mn-ea"/>
                  <a:cs typeface="+mn-cs"/>
                </a:rPr>
                <a:t>A typical wood arrow finish runs about 10 grains</a:t>
              </a:r>
              <a:r>
                <a:rPr lang="en-US" sz="1100">
                  <a:solidFill>
                    <a:schemeClr val="dk1"/>
                  </a:solidFill>
                  <a:latin typeface="+mn-lt"/>
                  <a:ea typeface="+mn-ea"/>
                  <a:cs typeface="+mn-cs"/>
                </a:rPr>
                <a:t>)</a:t>
              </a:r>
              <a:r>
                <a:rPr lang="en-US" sz="1100" baseline="0">
                  <a:solidFill>
                    <a:schemeClr val="dk1"/>
                  </a:solidFill>
                  <a:latin typeface="+mn-lt"/>
                  <a:ea typeface="+mn-ea"/>
                  <a:cs typeface="+mn-cs"/>
                </a:rPr>
                <a:t> </a:t>
              </a:r>
              <a:r>
                <a:rPr lang="en-US" sz="1100">
                  <a:solidFill>
                    <a:schemeClr val="dk1"/>
                  </a:solidFill>
                  <a:latin typeface="+mn-lt"/>
                  <a:ea typeface="+mn-ea"/>
                  <a:cs typeface="+mn-cs"/>
                </a:rPr>
                <a:t>or be included in the wood shafts GPI weight.</a:t>
              </a:r>
            </a:p>
            <a:p>
              <a:r>
                <a:rPr lang="en-US" sz="1100" u="none">
                  <a:solidFill>
                    <a:schemeClr val="dk1"/>
                  </a:solidFill>
                  <a:latin typeface="+mn-lt"/>
                  <a:ea typeface="+mn-ea"/>
                  <a:cs typeface="+mn-cs"/>
                </a:rPr>
                <a:t>           </a:t>
              </a:r>
              <a:r>
                <a:rPr lang="en-US" sz="1100" u="sng">
                  <a:solidFill>
                    <a:schemeClr val="dk1"/>
                  </a:solidFill>
                  <a:latin typeface="+mn-lt"/>
                  <a:ea typeface="+mn-ea"/>
                  <a:cs typeface="+mn-cs"/>
                </a:rPr>
                <a:t>Specific Weight</a:t>
              </a:r>
              <a:r>
                <a:rPr lang="en-US" sz="1100">
                  <a:solidFill>
                    <a:schemeClr val="dk1"/>
                  </a:solidFill>
                  <a:latin typeface="+mn-lt"/>
                  <a:ea typeface="+mn-ea"/>
                  <a:cs typeface="+mn-cs"/>
                </a:rPr>
                <a:t> </a:t>
              </a:r>
            </a:p>
            <a:p>
              <a:r>
                <a:rPr lang="en-US" sz="1100">
                  <a:solidFill>
                    <a:schemeClr val="dk1"/>
                  </a:solidFill>
                  <a:latin typeface="+mn-lt"/>
                  <a:ea typeface="+mn-ea"/>
                  <a:cs typeface="+mn-cs"/>
                </a:rPr>
                <a:t>	The</a:t>
              </a:r>
              <a:r>
                <a:rPr lang="en-US" sz="1100" baseline="0">
                  <a:solidFill>
                    <a:schemeClr val="dk1"/>
                  </a:solidFill>
                  <a:latin typeface="+mn-lt"/>
                  <a:ea typeface="+mn-ea"/>
                  <a:cs typeface="+mn-cs"/>
                </a:rPr>
                <a:t> specific weight is the </a:t>
              </a:r>
              <a:r>
                <a:rPr lang="en-US" sz="1100" u="sng" baseline="0">
                  <a:solidFill>
                    <a:schemeClr val="dk1"/>
                  </a:solidFill>
                  <a:latin typeface="+mn-lt"/>
                  <a:ea typeface="+mn-ea"/>
                  <a:cs typeface="+mn-cs"/>
                </a:rPr>
                <a:t>G</a:t>
              </a:r>
              <a:r>
                <a:rPr lang="en-US" sz="1100" baseline="0">
                  <a:solidFill>
                    <a:schemeClr val="dk1"/>
                  </a:solidFill>
                  <a:latin typeface="+mn-lt"/>
                  <a:ea typeface="+mn-ea"/>
                  <a:cs typeface="+mn-cs"/>
                </a:rPr>
                <a:t>rains </a:t>
              </a:r>
              <a:r>
                <a:rPr lang="en-US" sz="1100" u="sng" baseline="0">
                  <a:solidFill>
                    <a:schemeClr val="dk1"/>
                  </a:solidFill>
                  <a:latin typeface="+mn-lt"/>
                  <a:ea typeface="+mn-ea"/>
                  <a:cs typeface="+mn-cs"/>
                </a:rPr>
                <a:t>P</a:t>
              </a:r>
              <a:r>
                <a:rPr lang="en-US" sz="1100" baseline="0">
                  <a:solidFill>
                    <a:schemeClr val="dk1"/>
                  </a:solidFill>
                  <a:latin typeface="+mn-lt"/>
                  <a:ea typeface="+mn-ea"/>
                  <a:cs typeface="+mn-cs"/>
                </a:rPr>
                <a:t>er </a:t>
              </a:r>
              <a:r>
                <a:rPr lang="en-US" sz="1100" u="sng" baseline="0">
                  <a:solidFill>
                    <a:schemeClr val="dk1"/>
                  </a:solidFill>
                  <a:latin typeface="+mn-lt"/>
                  <a:ea typeface="+mn-ea"/>
                  <a:cs typeface="+mn-cs"/>
                </a:rPr>
                <a:t>P</a:t>
              </a:r>
              <a:r>
                <a:rPr lang="en-US" sz="1100" baseline="0">
                  <a:solidFill>
                    <a:schemeClr val="dk1"/>
                  </a:solidFill>
                  <a:latin typeface="+mn-lt"/>
                  <a:ea typeface="+mn-ea"/>
                  <a:cs typeface="+mn-cs"/>
                </a:rPr>
                <a:t>ound of your arrow setup relative to the bow information  and your draw length entered in boxes </a:t>
              </a:r>
              <a:r>
                <a:rPr lang="en-US" sz="1400" b="1">
                  <a:solidFill>
                    <a:srgbClr val="C00000"/>
                  </a:solidFill>
                  <a:latin typeface="+mn-lt"/>
                  <a:ea typeface="+mn-ea"/>
                  <a:cs typeface="+mn-cs"/>
                  <a:sym typeface="Wingdings"/>
                </a:rPr>
                <a:t>8 ~ 11</a:t>
              </a:r>
              <a:r>
                <a:rPr lang="en-US" sz="1100" baseline="0">
                  <a:solidFill>
                    <a:schemeClr val="dk1"/>
                  </a:solidFill>
                  <a:latin typeface="+mn-lt"/>
                  <a:ea typeface="+mn-ea"/>
                  <a:cs typeface="+mn-cs"/>
                </a:rPr>
                <a:t>. </a:t>
              </a:r>
            </a:p>
            <a:p>
              <a:r>
                <a:rPr lang="en-US" sz="1100" baseline="0">
                  <a:solidFill>
                    <a:schemeClr val="dk1"/>
                  </a:solidFill>
                  <a:latin typeface="+mn-lt"/>
                  <a:ea typeface="+mn-ea"/>
                  <a:cs typeface="+mn-cs"/>
                </a:rPr>
                <a:t>	Some manufactures recommend a specific GPP for their bows.  A good general rule of thumb is ~9 GPP for a target/3D arrow and around 10+ GPP for a 	hunting arrow.</a:t>
              </a:r>
              <a:endParaRPr lang="en-US" sz="1200"/>
            </a:p>
            <a:p>
              <a:endParaRPr lang="en-US" sz="1100">
                <a:solidFill>
                  <a:schemeClr val="dk1"/>
                </a:solidFill>
                <a:latin typeface="+mn-lt"/>
                <a:ea typeface="+mn-ea"/>
                <a:cs typeface="+mn-cs"/>
              </a:endParaRPr>
            </a:p>
            <a:p>
              <a:r>
                <a:rPr lang="en-US" sz="1100" u="none">
                  <a:solidFill>
                    <a:schemeClr val="dk1"/>
                  </a:solidFill>
                  <a:latin typeface="+mn-lt"/>
                  <a:ea typeface="+mn-ea"/>
                  <a:cs typeface="+mn-cs"/>
                </a:rPr>
                <a:t>            </a:t>
              </a:r>
              <a:r>
                <a:rPr lang="en-US" sz="1100" u="sng">
                  <a:solidFill>
                    <a:schemeClr val="dk1"/>
                  </a:solidFill>
                  <a:latin typeface="+mn-lt"/>
                  <a:ea typeface="+mn-ea"/>
                  <a:cs typeface="+mn-cs"/>
                </a:rPr>
                <a:t>F.O.C. %  (Forward of Center) </a:t>
              </a:r>
              <a:endParaRPr lang="en-US" sz="1200"/>
            </a:p>
            <a:p>
              <a:r>
                <a:rPr lang="en-US" sz="1100">
                  <a:solidFill>
                    <a:schemeClr val="dk1"/>
                  </a:solidFill>
                  <a:latin typeface="+mn-lt"/>
                  <a:ea typeface="+mn-ea"/>
                  <a:cs typeface="+mn-cs"/>
                </a:rPr>
                <a:t>	This is the measure of how far forward from</a:t>
              </a:r>
              <a:r>
                <a:rPr lang="en-US" sz="1100" baseline="0">
                  <a:solidFill>
                    <a:schemeClr val="dk1"/>
                  </a:solidFill>
                  <a:latin typeface="+mn-lt"/>
                  <a:ea typeface="+mn-ea"/>
                  <a:cs typeface="+mn-cs"/>
                </a:rPr>
                <a:t> the center of the shaft is the balance point.  A minimum amount of approximately 5% is necessary to ensure 	stable arrow flight.  Too much F.O.C. will result in a increase in arrow drag and will limit effective cast.  Recommendations are:</a:t>
              </a:r>
              <a:endParaRPr lang="en-US" sz="1200"/>
            </a:p>
            <a:p>
              <a:r>
                <a:rPr lang="en-US" sz="1100" baseline="0">
                  <a:solidFill>
                    <a:schemeClr val="dk1"/>
                  </a:solidFill>
                  <a:latin typeface="+mn-lt"/>
                  <a:ea typeface="+mn-ea"/>
                  <a:cs typeface="+mn-cs"/>
                </a:rPr>
                <a:t>	       -  For 3D / Target shooting try to remain in the range of 8% - 12%.  This will ensure stability while maintaining a flat trajectory.</a:t>
              </a:r>
              <a:endParaRPr lang="en-US" sz="1200"/>
            </a:p>
            <a:p>
              <a:r>
                <a:rPr lang="en-US" sz="1100" baseline="0">
                  <a:solidFill>
                    <a:schemeClr val="dk1"/>
                  </a:solidFill>
                  <a:latin typeface="+mn-lt"/>
                  <a:ea typeface="+mn-ea"/>
                  <a:cs typeface="+mn-cs"/>
                </a:rPr>
                <a:t>	       -  For Field / Hunting try to remain in the range of 10% - 20%.  The effect on trajectory at normal hunting distances will be minimal and the chance of 	          arrow deflection  if contacting leaves or small branches will be minimized.  Increased penetration has been reported with a higher F.O.C.%</a:t>
              </a:r>
            </a:p>
            <a:p>
              <a:r>
                <a:rPr lang="en-US" sz="1100" u="none">
                  <a:solidFill>
                    <a:schemeClr val="dk1"/>
                  </a:solidFill>
                  <a:latin typeface="+mn-lt"/>
                  <a:ea typeface="+mn-ea"/>
                  <a:cs typeface="+mn-cs"/>
                </a:rPr>
                <a:t>            </a:t>
              </a:r>
              <a:r>
                <a:rPr lang="en-US" sz="1100" u="sng">
                  <a:solidFill>
                    <a:schemeClr val="dk1"/>
                  </a:solidFill>
                  <a:latin typeface="+mn-lt"/>
                  <a:ea typeface="+mn-ea"/>
                  <a:cs typeface="+mn-cs"/>
                </a:rPr>
                <a:t>Speed</a:t>
              </a:r>
              <a:endParaRPr lang="en-US"/>
            </a:p>
            <a:p>
              <a:r>
                <a:rPr lang="en-US" sz="1100">
                  <a:solidFill>
                    <a:schemeClr val="dk1"/>
                  </a:solidFill>
                  <a:latin typeface="+mn-lt"/>
                  <a:ea typeface="+mn-ea"/>
                  <a:cs typeface="+mn-cs"/>
                </a:rPr>
                <a:t>	The</a:t>
              </a:r>
              <a:r>
                <a:rPr lang="en-US" sz="1100" baseline="0">
                  <a:solidFill>
                    <a:schemeClr val="dk1"/>
                  </a:solidFill>
                  <a:latin typeface="+mn-lt"/>
                  <a:ea typeface="+mn-ea"/>
                  <a:cs typeface="+mn-cs"/>
                </a:rPr>
                <a:t> initial arrow speed is predicted  and reported in feet-per-second.  This prediction is made relative to all the arrow and bow inputs (boxes </a:t>
              </a:r>
              <a:r>
                <a:rPr lang="en-US" sz="1400" b="1">
                  <a:solidFill>
                    <a:srgbClr val="C00000"/>
                  </a:solidFill>
                  <a:latin typeface="+mn-lt"/>
                  <a:ea typeface="+mn-ea"/>
                  <a:cs typeface="+mn-cs"/>
                  <a:sym typeface="Wingdings"/>
                </a:rPr>
                <a:t>1 ~ 11</a:t>
              </a:r>
              <a:r>
                <a:rPr lang="en-US" sz="1100" baseline="0">
                  <a:solidFill>
                    <a:schemeClr val="dk1"/>
                  </a:solidFill>
                  <a:latin typeface="+mn-lt"/>
                  <a:ea typeface="+mn-ea"/>
                  <a:cs typeface="+mn-cs"/>
                </a:rPr>
                <a:t>).  The 	equation has been calibrated to a shooting machine and has a typical error within +/- 2 fps.  This number should be considered as a maximum as a "dead" 	release or tab drag can often cause a slight decrease in speed.</a:t>
              </a:r>
            </a:p>
            <a:p>
              <a:r>
                <a:rPr lang="en-US" sz="1100" baseline="0">
                  <a:solidFill>
                    <a:schemeClr val="dk1"/>
                  </a:solidFill>
                  <a:latin typeface="+mn-lt"/>
                  <a:ea typeface="+mn-ea"/>
                  <a:cs typeface="+mn-cs"/>
                </a:rPr>
                <a:t>            </a:t>
              </a:r>
              <a:r>
                <a:rPr lang="en-US" sz="1100" u="sng">
                  <a:solidFill>
                    <a:schemeClr val="dk1"/>
                  </a:solidFill>
                  <a:latin typeface="+mn-lt"/>
                  <a:ea typeface="+mn-ea"/>
                  <a:cs typeface="+mn-cs"/>
                </a:rPr>
                <a:t>Energy</a:t>
              </a:r>
            </a:p>
            <a:p>
              <a:r>
                <a:rPr lang="en-US" sz="1100" baseline="0">
                  <a:solidFill>
                    <a:schemeClr val="dk1"/>
                  </a:solidFill>
                  <a:latin typeface="+mn-lt"/>
                  <a:ea typeface="+mn-ea"/>
                  <a:cs typeface="+mn-cs"/>
                </a:rPr>
                <a:t>	The kinetic energy of the arrow based on it's initial velocity is displayed in ft-lbs.  </a:t>
              </a:r>
              <a:endParaRPr lang="en-US" sz="1100">
                <a:solidFill>
                  <a:schemeClr val="dk1"/>
                </a:solidFill>
                <a:latin typeface="+mn-lt"/>
                <a:ea typeface="+mn-ea"/>
                <a:cs typeface="+mn-cs"/>
              </a:endParaRPr>
            </a:p>
            <a:p>
              <a:r>
                <a:rPr lang="en-US" sz="1200" b="1">
                  <a:solidFill>
                    <a:schemeClr val="dk1"/>
                  </a:solidFill>
                  <a:latin typeface="+mn-lt"/>
                  <a:ea typeface="+mn-ea"/>
                  <a:cs typeface="+mn-cs"/>
                </a:rPr>
                <a:t>  </a:t>
              </a:r>
            </a:p>
            <a:p>
              <a:r>
                <a:rPr lang="en-US" sz="1200" b="1">
                  <a:solidFill>
                    <a:schemeClr val="dk1"/>
                  </a:solidFill>
                  <a:latin typeface="+mn-lt"/>
                  <a:ea typeface="+mn-ea"/>
                  <a:cs typeface="+mn-cs"/>
                </a:rPr>
                <a:t>Enter Bow Information:</a:t>
              </a:r>
              <a:endParaRPr lang="en-US" sz="1200">
                <a:solidFill>
                  <a:schemeClr val="dk1"/>
                </a:solidFill>
                <a:latin typeface="+mn-lt"/>
                <a:ea typeface="+mn-ea"/>
                <a:cs typeface="+mn-cs"/>
              </a:endParaRPr>
            </a:p>
            <a:p>
              <a:pPr lvl="1"/>
              <a:r>
                <a:rPr lang="en-US" sz="1400" b="1">
                  <a:solidFill>
                    <a:srgbClr val="C00000"/>
                  </a:solidFill>
                  <a:latin typeface="+mn-lt"/>
                  <a:ea typeface="+mn-ea"/>
                  <a:cs typeface="+mn-cs"/>
                  <a:sym typeface="Wingdings"/>
                </a:rPr>
                <a:t>8</a:t>
              </a:r>
              <a:r>
                <a:rPr lang="en-US" sz="1100">
                  <a:solidFill>
                    <a:schemeClr val="dk1"/>
                  </a:solidFill>
                  <a:latin typeface="+mn-lt"/>
                  <a:ea typeface="+mn-ea"/>
                  <a:cs typeface="+mn-cs"/>
                </a:rPr>
                <a:t>   </a:t>
              </a:r>
              <a:r>
                <a:rPr lang="en-US" sz="1100" u="sng">
                  <a:solidFill>
                    <a:schemeClr val="dk1"/>
                  </a:solidFill>
                  <a:latin typeface="+mn-lt"/>
                  <a:ea typeface="+mn-ea"/>
                  <a:cs typeface="+mn-cs"/>
                </a:rPr>
                <a:t>Bow Type</a:t>
              </a:r>
            </a:p>
            <a:p>
              <a:pPr lvl="1"/>
              <a:r>
                <a:rPr lang="en-US" sz="1100">
                  <a:solidFill>
                    <a:schemeClr val="dk1"/>
                  </a:solidFill>
                  <a:latin typeface="+mn-lt"/>
                  <a:ea typeface="+mn-ea"/>
                  <a:cs typeface="+mn-cs"/>
                </a:rPr>
                <a:t>	Select from the dropdown list the bow</a:t>
              </a:r>
              <a:r>
                <a:rPr lang="en-US" sz="1100" baseline="0">
                  <a:solidFill>
                    <a:schemeClr val="dk1"/>
                  </a:solidFill>
                  <a:latin typeface="+mn-lt"/>
                  <a:ea typeface="+mn-ea"/>
                  <a:cs typeface="+mn-cs"/>
                </a:rPr>
                <a:t> type that matches closest.   Use the "Selfbow/Longbow" setting for an all wood bow or a traditional longbow  </a:t>
              </a:r>
            </a:p>
            <a:p>
              <a:pPr lvl="1"/>
              <a:r>
                <a:rPr lang="en-US" sz="1100" baseline="0">
                  <a:solidFill>
                    <a:schemeClr val="dk1"/>
                  </a:solidFill>
                  <a:latin typeface="+mn-lt"/>
                  <a:ea typeface="+mn-ea"/>
                  <a:cs typeface="+mn-cs"/>
                </a:rPr>
                <a:t>	with straight limbs.   Use the "Deflex/Reflex Longbow" selection for modern longbows with curved limbs and modern materials.  </a:t>
              </a:r>
            </a:p>
            <a:p>
              <a:pPr lvl="1"/>
              <a:r>
                <a:rPr lang="en-US" sz="1100" baseline="0">
                  <a:solidFill>
                    <a:schemeClr val="dk1"/>
                  </a:solidFill>
                  <a:latin typeface="+mn-lt"/>
                  <a:ea typeface="+mn-ea"/>
                  <a:cs typeface="+mn-cs"/>
                </a:rPr>
                <a:t>	The "Recurve" category is self explanatory.  The "Performance Recurve / Horsebow"  option should be selected when a high efficiency design such as an </a:t>
              </a:r>
            </a:p>
            <a:p>
              <a:pPr lvl="1"/>
              <a:r>
                <a:rPr lang="en-US" sz="1100" baseline="0">
                  <a:solidFill>
                    <a:schemeClr val="dk1"/>
                  </a:solidFill>
                  <a:latin typeface="+mn-lt"/>
                  <a:ea typeface="+mn-ea"/>
                  <a:cs typeface="+mn-cs"/>
                </a:rPr>
                <a:t>	A&amp;H ACS or foam core/carbon limb design is utilized.  Also a highly recurved short bow or horsebow utilizing modern materials should use this setting.</a:t>
              </a:r>
              <a:endParaRPr lang="en-US" sz="1100">
                <a:solidFill>
                  <a:schemeClr val="dk1"/>
                </a:solidFill>
                <a:latin typeface="+mn-lt"/>
                <a:ea typeface="+mn-ea"/>
                <a:cs typeface="+mn-cs"/>
              </a:endParaRPr>
            </a:p>
            <a:p>
              <a:pPr lvl="1"/>
              <a:r>
                <a:rPr lang="en-US" sz="1400" b="1" u="none">
                  <a:solidFill>
                    <a:srgbClr val="C00000"/>
                  </a:solidFill>
                  <a:latin typeface="+mn-lt"/>
                  <a:ea typeface="+mn-ea"/>
                  <a:cs typeface="+mn-cs"/>
                </a:rPr>
                <a:t>9</a:t>
              </a:r>
              <a:r>
                <a:rPr lang="en-US" sz="1100" u="none">
                  <a:solidFill>
                    <a:schemeClr val="dk1"/>
                  </a:solidFill>
                  <a:latin typeface="+mn-lt"/>
                  <a:ea typeface="+mn-ea"/>
                  <a:cs typeface="+mn-cs"/>
                </a:rPr>
                <a:t>    </a:t>
              </a:r>
              <a:r>
                <a:rPr lang="en-US" sz="1100" u="sng">
                  <a:solidFill>
                    <a:schemeClr val="dk1"/>
                  </a:solidFill>
                  <a:latin typeface="+mn-lt"/>
                  <a:ea typeface="+mn-ea"/>
                  <a:cs typeface="+mn-cs"/>
                </a:rPr>
                <a:t>Rated Weight</a:t>
              </a:r>
              <a:r>
                <a:rPr lang="en-US" sz="1100">
                  <a:solidFill>
                    <a:schemeClr val="dk1"/>
                  </a:solidFill>
                  <a:latin typeface="+mn-lt"/>
                  <a:ea typeface="+mn-ea"/>
                  <a:cs typeface="+mn-cs"/>
                </a:rPr>
                <a:t> </a:t>
              </a:r>
            </a:p>
            <a:p>
              <a:pPr lvl="2"/>
              <a:r>
                <a:rPr lang="en-US" sz="1100">
                  <a:solidFill>
                    <a:schemeClr val="dk1"/>
                  </a:solidFill>
                  <a:latin typeface="+mn-lt"/>
                  <a:ea typeface="+mn-ea"/>
                  <a:cs typeface="+mn-cs"/>
                </a:rPr>
                <a:t>Enter the rated weight of your bow in pounds.   </a:t>
              </a:r>
              <a:r>
                <a:rPr lang="en-US" sz="1100" i="1">
                  <a:solidFill>
                    <a:schemeClr val="dk1"/>
                  </a:solidFill>
                  <a:latin typeface="+mn-lt"/>
                  <a:ea typeface="+mn-ea"/>
                  <a:cs typeface="+mn-cs"/>
                </a:rPr>
                <a:t>Ex:</a:t>
              </a:r>
              <a:r>
                <a:rPr lang="en-US" sz="1100">
                  <a:solidFill>
                    <a:schemeClr val="dk1"/>
                  </a:solidFill>
                  <a:latin typeface="+mn-lt"/>
                  <a:ea typeface="+mn-ea"/>
                  <a:cs typeface="+mn-cs"/>
                </a:rPr>
                <a:t> </a:t>
              </a:r>
              <a:r>
                <a:rPr lang="en-US" sz="1100" b="1" i="1" u="sng">
                  <a:solidFill>
                    <a:schemeClr val="dk1"/>
                  </a:solidFill>
                  <a:latin typeface="+mn-lt"/>
                  <a:ea typeface="+mn-ea"/>
                  <a:cs typeface="+mn-cs"/>
                </a:rPr>
                <a:t>45#</a:t>
              </a:r>
              <a:r>
                <a:rPr lang="en-US" sz="1100" i="1">
                  <a:solidFill>
                    <a:schemeClr val="dk1"/>
                  </a:solidFill>
                  <a:latin typeface="+mn-lt"/>
                  <a:ea typeface="+mn-ea"/>
                  <a:cs typeface="+mn-cs"/>
                </a:rPr>
                <a:t> @ 28”</a:t>
              </a:r>
              <a:endParaRPr lang="en-US" sz="1100">
                <a:solidFill>
                  <a:schemeClr val="dk1"/>
                </a:solidFill>
                <a:latin typeface="+mn-lt"/>
                <a:ea typeface="+mn-ea"/>
                <a:cs typeface="+mn-cs"/>
              </a:endParaRPr>
            </a:p>
            <a:p>
              <a:pPr lvl="2"/>
              <a:r>
                <a:rPr lang="en-US" sz="1100">
                  <a:solidFill>
                    <a:schemeClr val="dk1"/>
                  </a:solidFill>
                  <a:latin typeface="+mn-lt"/>
                  <a:ea typeface="+mn-ea"/>
                  <a:cs typeface="+mn-cs"/>
                </a:rPr>
                <a:t>Note:  It is always wise to confirm the actual draw weight  as the bow makers marking are sometimes off or perhaps the bow has</a:t>
              </a:r>
              <a:r>
                <a:rPr lang="en-US" sz="1100" baseline="0">
                  <a:solidFill>
                    <a:schemeClr val="dk1"/>
                  </a:solidFill>
                  <a:latin typeface="+mn-lt"/>
                  <a:ea typeface="+mn-ea"/>
                  <a:cs typeface="+mn-cs"/>
                </a:rPr>
                <a:t> relaxed from age/set</a:t>
              </a:r>
              <a:r>
                <a:rPr lang="en-US" sz="1100">
                  <a:solidFill>
                    <a:schemeClr val="dk1"/>
                  </a:solidFill>
                  <a:latin typeface="+mn-lt"/>
                  <a:ea typeface="+mn-ea"/>
                  <a:cs typeface="+mn-cs"/>
                </a:rPr>
                <a:t>.  </a:t>
              </a:r>
            </a:p>
            <a:p>
              <a:pPr lvl="1"/>
              <a:r>
                <a:rPr lang="en-US" sz="1400" b="1">
                  <a:solidFill>
                    <a:srgbClr val="C00000"/>
                  </a:solidFill>
                  <a:latin typeface="+mn-lt"/>
                  <a:ea typeface="+mn-ea"/>
                  <a:cs typeface="+mn-cs"/>
                  <a:sym typeface="Wingdings"/>
                </a:rPr>
                <a:t>10</a:t>
              </a:r>
              <a:r>
                <a:rPr lang="en-US" sz="1200">
                  <a:solidFill>
                    <a:srgbClr val="C00000"/>
                  </a:solidFill>
                  <a:latin typeface="+mn-lt"/>
                  <a:ea typeface="+mn-ea"/>
                  <a:cs typeface="+mn-cs"/>
                  <a:sym typeface="Wingdings"/>
                </a:rPr>
                <a:t> </a:t>
              </a:r>
              <a:r>
                <a:rPr lang="en-US" sz="1100">
                  <a:solidFill>
                    <a:schemeClr val="dk1"/>
                  </a:solidFill>
                  <a:latin typeface="+mn-lt"/>
                  <a:ea typeface="+mn-ea"/>
                  <a:cs typeface="+mn-cs"/>
                </a:rPr>
                <a:t> </a:t>
              </a:r>
              <a:r>
                <a:rPr lang="en-US" sz="1100" u="sng">
                  <a:solidFill>
                    <a:schemeClr val="dk1"/>
                  </a:solidFill>
                  <a:latin typeface="+mn-lt"/>
                  <a:ea typeface="+mn-ea"/>
                  <a:cs typeface="+mn-cs"/>
                </a:rPr>
                <a:t>Rated Draw</a:t>
              </a:r>
              <a:r>
                <a:rPr lang="en-US" sz="1100">
                  <a:solidFill>
                    <a:schemeClr val="dk1"/>
                  </a:solidFill>
                  <a:latin typeface="+mn-lt"/>
                  <a:ea typeface="+mn-ea"/>
                  <a:cs typeface="+mn-cs"/>
                </a:rPr>
                <a:t> </a:t>
              </a:r>
            </a:p>
            <a:p>
              <a:pPr lvl="2"/>
              <a:r>
                <a:rPr lang="en-US" sz="1100">
                  <a:solidFill>
                    <a:schemeClr val="dk1"/>
                  </a:solidFill>
                  <a:latin typeface="+mn-lt"/>
                  <a:ea typeface="+mn-ea"/>
                  <a:cs typeface="+mn-cs"/>
                </a:rPr>
                <a:t>Enter the draw length in inches at which the bow is rated.  </a:t>
              </a:r>
              <a:r>
                <a:rPr lang="en-US" sz="1100" i="1">
                  <a:solidFill>
                    <a:schemeClr val="dk1"/>
                  </a:solidFill>
                  <a:latin typeface="+mn-lt"/>
                  <a:ea typeface="+mn-ea"/>
                  <a:cs typeface="+mn-cs"/>
                </a:rPr>
                <a:t>Ex:</a:t>
              </a:r>
              <a:r>
                <a:rPr lang="en-US" sz="1100">
                  <a:solidFill>
                    <a:schemeClr val="dk1"/>
                  </a:solidFill>
                  <a:latin typeface="+mn-lt"/>
                  <a:ea typeface="+mn-ea"/>
                  <a:cs typeface="+mn-cs"/>
                </a:rPr>
                <a:t> </a:t>
              </a:r>
              <a:r>
                <a:rPr lang="en-US" sz="1100" i="1">
                  <a:solidFill>
                    <a:schemeClr val="dk1"/>
                  </a:solidFill>
                  <a:latin typeface="+mn-lt"/>
                  <a:ea typeface="+mn-ea"/>
                  <a:cs typeface="+mn-cs"/>
                </a:rPr>
                <a:t>45# @ </a:t>
              </a:r>
              <a:r>
                <a:rPr lang="en-US" sz="1100" b="1" i="1" u="sng">
                  <a:solidFill>
                    <a:schemeClr val="dk1"/>
                  </a:solidFill>
                  <a:latin typeface="+mn-lt"/>
                  <a:ea typeface="+mn-ea"/>
                  <a:cs typeface="+mn-cs"/>
                </a:rPr>
                <a:t>28”</a:t>
              </a:r>
              <a:endParaRPr lang="en-US" sz="1100">
                <a:solidFill>
                  <a:schemeClr val="dk1"/>
                </a:solidFill>
                <a:latin typeface="+mn-lt"/>
                <a:ea typeface="+mn-ea"/>
                <a:cs typeface="+mn-cs"/>
              </a:endParaRPr>
            </a:p>
            <a:p>
              <a:pPr lvl="1"/>
              <a:r>
                <a:rPr lang="en-US" sz="1400" b="1">
                  <a:solidFill>
                    <a:srgbClr val="C00000"/>
                  </a:solidFill>
                  <a:latin typeface="+mn-lt"/>
                  <a:ea typeface="+mn-ea"/>
                  <a:cs typeface="+mn-cs"/>
                  <a:sym typeface="Wingdings"/>
                </a:rPr>
                <a:t>11</a:t>
              </a:r>
              <a:r>
                <a:rPr lang="en-US" sz="1100">
                  <a:solidFill>
                    <a:schemeClr val="dk1"/>
                  </a:solidFill>
                  <a:latin typeface="+mn-lt"/>
                  <a:ea typeface="+mn-ea"/>
                  <a:cs typeface="+mn-cs"/>
                </a:rPr>
                <a:t>  </a:t>
              </a:r>
              <a:r>
                <a:rPr lang="en-US" sz="1100" u="sng">
                  <a:solidFill>
                    <a:schemeClr val="dk1"/>
                  </a:solidFill>
                  <a:latin typeface="+mn-lt"/>
                  <a:ea typeface="+mn-ea"/>
                  <a:cs typeface="+mn-cs"/>
                </a:rPr>
                <a:t>Your Draw</a:t>
              </a:r>
              <a:r>
                <a:rPr lang="en-US" sz="1100">
                  <a:solidFill>
                    <a:schemeClr val="dk1"/>
                  </a:solidFill>
                  <a:latin typeface="+mn-lt"/>
                  <a:ea typeface="+mn-ea"/>
                  <a:cs typeface="+mn-cs"/>
                </a:rPr>
                <a:t> </a:t>
              </a:r>
            </a:p>
            <a:p>
              <a:pPr lvl="2"/>
              <a:r>
                <a:rPr lang="en-US" sz="1100">
                  <a:solidFill>
                    <a:schemeClr val="dk1"/>
                  </a:solidFill>
                  <a:latin typeface="+mn-lt"/>
                  <a:ea typeface="+mn-ea"/>
                  <a:cs typeface="+mn-cs"/>
                </a:rPr>
                <a:t>Enter your own actual draw length in inches.  Don’t assume that you draw a standard 28”.  Have a friend mark an arrow at the front of your bow hand </a:t>
              </a:r>
            </a:p>
            <a:p>
              <a:pPr lvl="2"/>
              <a:r>
                <a:rPr lang="en-US" sz="1100">
                  <a:solidFill>
                    <a:schemeClr val="dk1"/>
                  </a:solidFill>
                  <a:latin typeface="+mn-lt"/>
                  <a:ea typeface="+mn-ea"/>
                  <a:cs typeface="+mn-cs"/>
                </a:rPr>
                <a:t>when at full draw and at your correct anchor.  Your draw length is from that mark to the bottom of the arrow nock groove where the string touches.</a:t>
              </a:r>
            </a:p>
            <a:p>
              <a:pPr lvl="1"/>
              <a:r>
                <a:rPr lang="en-US" sz="1400" b="1">
                  <a:solidFill>
                    <a:srgbClr val="C00000"/>
                  </a:solidFill>
                  <a:latin typeface="+mn-lt"/>
                  <a:ea typeface="+mn-ea"/>
                  <a:cs typeface="+mn-cs"/>
                  <a:sym typeface="Wingdings"/>
                </a:rPr>
                <a:t>12</a:t>
              </a:r>
              <a:r>
                <a:rPr lang="en-US" sz="1100">
                  <a:solidFill>
                    <a:schemeClr val="dk1"/>
                  </a:solidFill>
                  <a:latin typeface="+mn-lt"/>
                  <a:ea typeface="+mn-ea"/>
                  <a:cs typeface="+mn-cs"/>
                </a:rPr>
                <a:t>  </a:t>
              </a:r>
              <a:r>
                <a:rPr lang="en-US" sz="1100" u="sng">
                  <a:solidFill>
                    <a:schemeClr val="dk1"/>
                  </a:solidFill>
                  <a:latin typeface="+mn-lt"/>
                  <a:ea typeface="+mn-ea"/>
                  <a:cs typeface="+mn-cs"/>
                </a:rPr>
                <a:t>Shelf Location</a:t>
              </a:r>
              <a:r>
                <a:rPr lang="en-US" sz="1100">
                  <a:solidFill>
                    <a:schemeClr val="dk1"/>
                  </a:solidFill>
                  <a:latin typeface="+mn-lt"/>
                  <a:ea typeface="+mn-ea"/>
                  <a:cs typeface="+mn-cs"/>
                </a:rPr>
                <a:t> </a:t>
              </a:r>
            </a:p>
            <a:p>
              <a:pPr lvl="2"/>
              <a:r>
                <a:rPr lang="en-US" sz="1100">
                  <a:solidFill>
                    <a:schemeClr val="dk1"/>
                  </a:solidFill>
                  <a:latin typeface="+mn-lt"/>
                  <a:ea typeface="+mn-ea"/>
                  <a:cs typeface="+mn-cs"/>
                </a:rPr>
                <a:t>Select from the drop down menu the amount of center cut of your bows riser window.   Use the actual measurement of your </a:t>
              </a:r>
            </a:p>
            <a:p>
              <a:pPr lvl="2"/>
              <a:r>
                <a:rPr lang="en-US" sz="1100">
                  <a:solidFill>
                    <a:schemeClr val="dk1"/>
                  </a:solidFill>
                  <a:latin typeface="+mn-lt"/>
                  <a:ea typeface="+mn-ea"/>
                  <a:cs typeface="+mn-cs"/>
                </a:rPr>
                <a:t>actual bow </a:t>
              </a:r>
              <a:r>
                <a:rPr lang="en-US" sz="1100" u="sng">
                  <a:solidFill>
                    <a:schemeClr val="dk1"/>
                  </a:solidFill>
                  <a:latin typeface="+mn-lt"/>
                  <a:ea typeface="+mn-ea"/>
                  <a:cs typeface="+mn-cs"/>
                </a:rPr>
                <a:t>to the surface of the strike plate </a:t>
              </a:r>
              <a:r>
                <a:rPr lang="en-US" sz="1100">
                  <a:solidFill>
                    <a:schemeClr val="dk1"/>
                  </a:solidFill>
                  <a:latin typeface="+mn-lt"/>
                  <a:ea typeface="+mn-ea"/>
                  <a:cs typeface="+mn-cs"/>
                </a:rPr>
                <a:t>where the arrow rests.  </a:t>
              </a:r>
              <a:r>
                <a:rPr lang="en-US" sz="1100" i="1">
                  <a:solidFill>
                    <a:schemeClr val="dk1"/>
                  </a:solidFill>
                  <a:latin typeface="+mn-lt"/>
                  <a:ea typeface="+mn-ea"/>
                  <a:cs typeface="+mn-cs"/>
                </a:rPr>
                <a:t>Ex:  Reference the attached sketch to the right.  </a:t>
              </a:r>
            </a:p>
            <a:p>
              <a:pPr lvl="2"/>
              <a:r>
                <a:rPr lang="en-US" sz="1100" i="1">
                  <a:solidFill>
                    <a:schemeClr val="dk1"/>
                  </a:solidFill>
                  <a:latin typeface="+mn-lt"/>
                  <a:ea typeface="+mn-ea"/>
                  <a:cs typeface="+mn-cs"/>
                </a:rPr>
                <a:t>True center cut is = 0.   Plus +1/8” would be less than center cut (strike plate surface is outside of string centerline), and </a:t>
              </a:r>
            </a:p>
            <a:p>
              <a:pPr lvl="2"/>
              <a:r>
                <a:rPr lang="en-US" sz="1100" b="1" i="1">
                  <a:solidFill>
                    <a:srgbClr val="FF0000"/>
                  </a:solidFill>
                  <a:latin typeface="+mn-lt"/>
                  <a:ea typeface="+mn-ea"/>
                  <a:cs typeface="+mn-cs"/>
                </a:rPr>
                <a:t>-1/8” </a:t>
              </a:r>
              <a:r>
                <a:rPr lang="en-US" sz="1100" i="1">
                  <a:solidFill>
                    <a:schemeClr val="dk1"/>
                  </a:solidFill>
                  <a:latin typeface="+mn-lt"/>
                  <a:ea typeface="+mn-ea"/>
                  <a:cs typeface="+mn-cs"/>
                </a:rPr>
                <a:t>would be more then center cut (strike plate surface is inside of the string centerline).  </a:t>
              </a:r>
            </a:p>
            <a:p>
              <a:pPr lvl="2"/>
              <a:r>
                <a:rPr lang="en-US" sz="1100" i="1">
                  <a:solidFill>
                    <a:schemeClr val="dk1"/>
                  </a:solidFill>
                  <a:latin typeface="+mn-lt"/>
                  <a:ea typeface="+mn-ea"/>
                  <a:cs typeface="+mn-cs"/>
                </a:rPr>
                <a:t>Most recurves are center cut or more, most long bows are slightly less than center cut.</a:t>
              </a:r>
              <a:endParaRPr lang="en-US" sz="1100">
                <a:solidFill>
                  <a:schemeClr val="dk1"/>
                </a:solidFill>
                <a:latin typeface="+mn-lt"/>
                <a:ea typeface="+mn-ea"/>
                <a:cs typeface="+mn-cs"/>
              </a:endParaRPr>
            </a:p>
            <a:p>
              <a:pPr lvl="1"/>
              <a:r>
                <a:rPr lang="en-US" sz="1400" b="1">
                  <a:solidFill>
                    <a:srgbClr val="C00000"/>
                  </a:solidFill>
                  <a:latin typeface="+mn-lt"/>
                  <a:ea typeface="+mn-ea"/>
                  <a:cs typeface="+mn-cs"/>
                  <a:sym typeface="Wingdings"/>
                </a:rPr>
                <a:t>13</a:t>
              </a:r>
              <a:r>
                <a:rPr lang="en-US" sz="1100">
                  <a:solidFill>
                    <a:schemeClr val="dk1"/>
                  </a:solidFill>
                  <a:latin typeface="+mn-lt"/>
                  <a:ea typeface="+mn-ea"/>
                  <a:cs typeface="+mn-cs"/>
                </a:rPr>
                <a:t>  </a:t>
              </a:r>
              <a:r>
                <a:rPr lang="en-US" sz="1100" u="sng">
                  <a:solidFill>
                    <a:schemeClr val="dk1"/>
                  </a:solidFill>
                  <a:latin typeface="+mn-lt"/>
                  <a:ea typeface="+mn-ea"/>
                  <a:cs typeface="+mn-cs"/>
                </a:rPr>
                <a:t>String Material</a:t>
              </a:r>
              <a:r>
                <a:rPr lang="en-US" sz="1100">
                  <a:solidFill>
                    <a:schemeClr val="dk1"/>
                  </a:solidFill>
                  <a:latin typeface="+mn-lt"/>
                  <a:ea typeface="+mn-ea"/>
                  <a:cs typeface="+mn-cs"/>
                </a:rPr>
                <a:t> </a:t>
              </a:r>
            </a:p>
            <a:p>
              <a:pPr lvl="2"/>
              <a:r>
                <a:rPr lang="en-US" sz="1100">
                  <a:solidFill>
                    <a:schemeClr val="dk1"/>
                  </a:solidFill>
                  <a:latin typeface="+mn-lt"/>
                  <a:ea typeface="+mn-ea"/>
                  <a:cs typeface="+mn-cs"/>
                </a:rPr>
                <a:t>Select from the drop down menu the type of string material that is being used.</a:t>
              </a:r>
            </a:p>
            <a:p>
              <a:pPr lvl="2"/>
              <a:r>
                <a:rPr lang="en-US" sz="1100">
                  <a:solidFill>
                    <a:schemeClr val="dk1"/>
                  </a:solidFill>
                  <a:latin typeface="+mn-lt"/>
                  <a:ea typeface="+mn-ea"/>
                  <a:cs typeface="+mn-cs"/>
                </a:rPr>
                <a:t> </a:t>
              </a:r>
            </a:p>
            <a:p>
              <a:pPr lvl="1"/>
              <a:endParaRPr lang="en-US" sz="1100" b="1">
                <a:solidFill>
                  <a:schemeClr val="dk1"/>
                </a:solidFill>
                <a:latin typeface="+mn-lt"/>
                <a:ea typeface="+mn-ea"/>
                <a:cs typeface="+mn-cs"/>
              </a:endParaRPr>
            </a:p>
            <a:p>
              <a:pPr lvl="1"/>
              <a:endParaRPr lang="en-US" sz="1100" b="1">
                <a:solidFill>
                  <a:schemeClr val="dk1"/>
                </a:solidFill>
                <a:latin typeface="+mn-lt"/>
                <a:ea typeface="+mn-ea"/>
                <a:cs typeface="+mn-cs"/>
              </a:endParaRPr>
            </a:p>
            <a:p>
              <a:pPr lvl="1"/>
              <a:r>
                <a:rPr lang="en-US" sz="1100" b="1">
                  <a:solidFill>
                    <a:schemeClr val="dk1"/>
                  </a:solidFill>
                  <a:latin typeface="+mn-lt"/>
                  <a:ea typeface="+mn-ea"/>
                  <a:cs typeface="+mn-cs"/>
                </a:rPr>
                <a:t>Results:</a:t>
              </a:r>
            </a:p>
            <a:p>
              <a:pPr lvl="1"/>
              <a:r>
                <a:rPr lang="en-US" sz="1100">
                  <a:solidFill>
                    <a:schemeClr val="dk1"/>
                  </a:solidFill>
                  <a:latin typeface="+mn-lt"/>
                  <a:ea typeface="+mn-ea"/>
                  <a:cs typeface="+mn-cs"/>
                </a:rPr>
                <a:t>After each cell (</a:t>
              </a:r>
              <a:r>
                <a:rPr lang="en-US" sz="1050" b="1">
                  <a:solidFill>
                    <a:srgbClr val="C00000"/>
                  </a:solidFill>
                  <a:latin typeface="+mn-lt"/>
                  <a:ea typeface="+mn-ea"/>
                  <a:cs typeface="+mn-cs"/>
                  <a:sym typeface="Wingdings"/>
                </a:rPr>
                <a:t>8</a:t>
              </a:r>
              <a:r>
                <a:rPr lang="en-US" sz="1200">
                  <a:solidFill>
                    <a:schemeClr val="dk1"/>
                  </a:solidFill>
                  <a:latin typeface="+mn-lt"/>
                  <a:ea typeface="+mn-ea"/>
                  <a:cs typeface="+mn-cs"/>
                </a:rPr>
                <a:t> </a:t>
              </a:r>
              <a:r>
                <a:rPr lang="en-US" sz="1100">
                  <a:solidFill>
                    <a:schemeClr val="dk1"/>
                  </a:solidFill>
                  <a:latin typeface="+mn-lt"/>
                  <a:ea typeface="+mn-ea"/>
                  <a:cs typeface="+mn-cs"/>
                </a:rPr>
                <a:t>to</a:t>
              </a:r>
              <a:r>
                <a:rPr lang="en-US" sz="1200">
                  <a:solidFill>
                    <a:schemeClr val="dk1"/>
                  </a:solidFill>
                  <a:latin typeface="+mn-lt"/>
                  <a:ea typeface="+mn-ea"/>
                  <a:cs typeface="+mn-cs"/>
                </a:rPr>
                <a:t> </a:t>
              </a:r>
              <a:r>
                <a:rPr lang="en-US" sz="1050" b="1">
                  <a:solidFill>
                    <a:srgbClr val="C00000"/>
                  </a:solidFill>
                  <a:latin typeface="+mn-lt"/>
                  <a:ea typeface="+mn-ea"/>
                  <a:cs typeface="+mn-cs"/>
                  <a:sym typeface="Wingdings"/>
                </a:rPr>
                <a:t>13</a:t>
              </a:r>
              <a:r>
                <a:rPr lang="en-US" sz="1100">
                  <a:solidFill>
                    <a:schemeClr val="dk1"/>
                  </a:solidFill>
                  <a:latin typeface="+mn-lt"/>
                  <a:ea typeface="+mn-ea"/>
                  <a:cs typeface="+mn-cs"/>
                </a:rPr>
                <a:t>) has been entered the recommended arrow dynamic spine for your bow will be displayed.  This spine is theoretically correct for that bow set-up and only minor tuning (see notes above) should be required to achieve good arrow flight.  This assumes a good form and release. (</a:t>
              </a:r>
              <a:r>
                <a:rPr lang="en-US" sz="1100" i="1">
                  <a:solidFill>
                    <a:schemeClr val="dk1"/>
                  </a:solidFill>
                  <a:latin typeface="+mn-lt"/>
                  <a:ea typeface="+mn-ea"/>
                  <a:cs typeface="+mn-cs"/>
                </a:rPr>
                <a:t>Ex: A poor release or “plucking” will require a weaker dynamically spined arrow to compensate for the exaggerated string deflection.</a:t>
              </a:r>
              <a:r>
                <a:rPr lang="en-US" sz="1100">
                  <a:solidFill>
                    <a:schemeClr val="dk1"/>
                  </a:solidFill>
                  <a:latin typeface="+mn-lt"/>
                  <a:ea typeface="+mn-ea"/>
                  <a:cs typeface="+mn-cs"/>
                </a:rPr>
                <a:t>)  Each individual</a:t>
              </a:r>
              <a:r>
                <a:rPr lang="en-US" sz="1100" baseline="0">
                  <a:solidFill>
                    <a:schemeClr val="dk1"/>
                  </a:solidFill>
                  <a:latin typeface="+mn-lt"/>
                  <a:ea typeface="+mn-ea"/>
                  <a:cs typeface="+mn-cs"/>
                </a:rPr>
                <a:t> shooter is unique and some "experimenting" will be required to dial in the number perfectly.  Once you have settled on the optimal dynamic number for an arrow then simply match that number with other new arrow configurations and the same flight performance can be expected.</a:t>
              </a:r>
              <a:endParaRPr lang="en-US" sz="1100">
                <a:solidFill>
                  <a:schemeClr val="dk1"/>
                </a:solidFill>
                <a:latin typeface="+mn-lt"/>
                <a:ea typeface="+mn-ea"/>
                <a:cs typeface="+mn-cs"/>
              </a:endParaRPr>
            </a:p>
            <a:p>
              <a:pPr lvl="1"/>
              <a:r>
                <a:rPr lang="en-US" sz="1100">
                  <a:solidFill>
                    <a:schemeClr val="dk1"/>
                  </a:solidFill>
                  <a:latin typeface="+mn-lt"/>
                  <a:ea typeface="+mn-ea"/>
                  <a:cs typeface="+mn-cs"/>
                </a:rPr>
                <a:t> </a:t>
              </a:r>
            </a:p>
            <a:p>
              <a:r>
                <a:rPr lang="en-US" sz="1100">
                  <a:solidFill>
                    <a:schemeClr val="dk1"/>
                  </a:solidFill>
                  <a:latin typeface="+mn-lt"/>
                  <a:ea typeface="+mn-ea"/>
                  <a:cs typeface="+mn-cs"/>
                </a:rPr>
                <a:t> </a:t>
              </a:r>
            </a:p>
            <a:p>
              <a:endParaRPr lang="en-US" sz="1100">
                <a:solidFill>
                  <a:schemeClr val="dk1"/>
                </a:solidFill>
                <a:latin typeface="+mn-lt"/>
                <a:ea typeface="+mn-ea"/>
                <a:cs typeface="+mn-cs"/>
              </a:endParaRPr>
            </a:p>
            <a:p>
              <a:pPr lvl="0"/>
              <a:r>
                <a:rPr lang="en-US" sz="1100" b="1">
                  <a:solidFill>
                    <a:schemeClr val="dk1"/>
                  </a:solidFill>
                  <a:latin typeface="+mn-lt"/>
                  <a:ea typeface="+mn-ea"/>
                  <a:cs typeface="+mn-cs"/>
                </a:rPr>
                <a:t>3.  Compare Dynamic Spines:</a:t>
              </a:r>
              <a:endParaRPr lang="en-US" sz="1100">
                <a:solidFill>
                  <a:schemeClr val="dk1"/>
                </a:solidFill>
                <a:latin typeface="+mn-lt"/>
                <a:ea typeface="+mn-ea"/>
                <a:cs typeface="+mn-cs"/>
              </a:endParaRPr>
            </a:p>
            <a:p>
              <a:pPr lvl="1"/>
              <a:r>
                <a:rPr lang="en-US" sz="1100">
                  <a:solidFill>
                    <a:schemeClr val="dk1"/>
                  </a:solidFill>
                  <a:latin typeface="+mn-lt"/>
                  <a:ea typeface="+mn-ea"/>
                  <a:cs typeface="+mn-cs"/>
                </a:rPr>
                <a:t>Compare the dynamic spine required by the bow setup to the one calculated for the specific arrow parameters entered (two black boxes).  These numbers should be as close as possible to ensure that fine tuning can be successfully accomplished with brace height and minor shelf adjustments (see notes above).  If the two numbers are more than ~2# apart then modify the arrow</a:t>
              </a:r>
              <a:r>
                <a:rPr lang="en-US" sz="1100" baseline="0">
                  <a:solidFill>
                    <a:schemeClr val="dk1"/>
                  </a:solidFill>
                  <a:latin typeface="+mn-lt"/>
                  <a:ea typeface="+mn-ea"/>
                  <a:cs typeface="+mn-cs"/>
                </a:rPr>
                <a:t> design</a:t>
              </a:r>
              <a:r>
                <a:rPr lang="en-US" sz="1100">
                  <a:solidFill>
                    <a:schemeClr val="dk1"/>
                  </a:solidFill>
                  <a:latin typeface="+mn-lt"/>
                  <a:ea typeface="+mn-ea"/>
                  <a:cs typeface="+mn-cs"/>
                </a:rPr>
                <a:t> inputs in order to reduce the variation.  The arrow point weight and shaft length are generally the most feasible and effective to modify.</a:t>
              </a:r>
            </a:p>
          </xdr:txBody>
        </xdr:sp>
        <xdr:cxnSp macro="">
          <xdr:nvCxnSpPr>
            <xdr:cNvPr id="60" name="Straight Connector 59">
              <a:extLst>
                <a:ext uri="{FF2B5EF4-FFF2-40B4-BE49-F238E27FC236}">
                  <a16:creationId xmlns:a16="http://schemas.microsoft.com/office/drawing/2014/main" xmlns="" id="{A8E8665D-F821-4051-95D3-BCD05452AC19}"/>
                </a:ext>
              </a:extLst>
            </xdr:cNvPr>
            <xdr:cNvCxnSpPr/>
          </xdr:nvCxnSpPr>
          <xdr:spPr>
            <a:xfrm>
              <a:off x="-37834578" y="5143300"/>
              <a:ext cx="8092154" cy="0"/>
            </a:xfrm>
            <a:prstGeom prst="line">
              <a:avLst/>
            </a:prstGeom>
            <a:grpFill/>
            <a:ln w="22225" cmpd="sng">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grpSp>
      <xdr:grpSp>
        <xdr:nvGrpSpPr>
          <xdr:cNvPr id="173744" name="Group 45">
            <a:extLst>
              <a:ext uri="{FF2B5EF4-FFF2-40B4-BE49-F238E27FC236}">
                <a16:creationId xmlns:a16="http://schemas.microsoft.com/office/drawing/2014/main" xmlns="" id="{6CAA2987-F8A3-4729-A42D-17EA6A9E3E3B}"/>
              </a:ext>
            </a:extLst>
          </xdr:cNvPr>
          <xdr:cNvGrpSpPr>
            <a:grpSpLocks/>
          </xdr:cNvGrpSpPr>
        </xdr:nvGrpSpPr>
        <xdr:grpSpPr bwMode="auto">
          <a:xfrm>
            <a:off x="168791964" y="196792264"/>
            <a:ext cx="6166830" cy="1568370"/>
            <a:chOff x="3139607" y="16031636"/>
            <a:chExt cx="111891" cy="114128"/>
          </a:xfrm>
        </xdr:grpSpPr>
        <xdr:pic>
          <xdr:nvPicPr>
            <xdr:cNvPr id="55" name="Picture 1639">
              <a:extLst>
                <a:ext uri="{FF2B5EF4-FFF2-40B4-BE49-F238E27FC236}">
                  <a16:creationId xmlns:a16="http://schemas.microsoft.com/office/drawing/2014/main" xmlns="" id="{45ABD70F-920F-481E-9EDB-F87A0472730A}"/>
                </a:ext>
              </a:extLst>
            </xdr:cNvPr>
            <xdr:cNvPicPr>
              <a:picLocks noChangeAspect="1" noChangeArrowheads="1"/>
            </xdr:cNvPicPr>
          </xdr:nvPicPr>
          <xdr:blipFill>
            <a:blip xmlns:r="http://schemas.openxmlformats.org/officeDocument/2006/relationships" r:embed="rId3" cstate="print">
              <a:lum bright="-20000" contrast="36000"/>
            </a:blip>
            <a:srcRect/>
            <a:stretch>
              <a:fillRect/>
            </a:stretch>
          </xdr:blipFill>
          <xdr:spPr bwMode="auto">
            <a:xfrm>
              <a:off x="3139828" y="16031887"/>
              <a:ext cx="6376" cy="104182"/>
            </a:xfrm>
            <a:prstGeom prst="rect">
              <a:avLst/>
            </a:prstGeom>
            <a:grpFill/>
            <a:ln w="34925" cmpd="dbl">
              <a:noFill/>
              <a:miter lim="800000"/>
              <a:headEnd/>
              <a:tailEnd/>
            </a:ln>
          </xdr:spPr>
        </xdr:pic>
        <xdr:cxnSp macro="">
          <xdr:nvCxnSpPr>
            <xdr:cNvPr id="56" name="Straight Connector 55">
              <a:extLst>
                <a:ext uri="{FF2B5EF4-FFF2-40B4-BE49-F238E27FC236}">
                  <a16:creationId xmlns:a16="http://schemas.microsoft.com/office/drawing/2014/main" xmlns="" id="{4427B5D3-9557-45DD-BC67-5D34C6C4E955}"/>
                </a:ext>
              </a:extLst>
            </xdr:cNvPr>
            <xdr:cNvCxnSpPr/>
          </xdr:nvCxnSpPr>
          <xdr:spPr>
            <a:xfrm>
              <a:off x="3146836" y="16132450"/>
              <a:ext cx="0" cy="0"/>
            </a:xfrm>
            <a:prstGeom prst="line">
              <a:avLst/>
            </a:prstGeom>
            <a:grpFill/>
            <a:ln w="25400" cmpd="dbl">
              <a:solidFill>
                <a:schemeClr val="tx1"/>
              </a:solidFill>
              <a:headEnd type="arrow"/>
              <a:tailEnd type="arrow"/>
            </a:ln>
          </xdr:spPr>
          <xdr:style>
            <a:lnRef idx="1">
              <a:schemeClr val="accent1"/>
            </a:lnRef>
            <a:fillRef idx="0">
              <a:schemeClr val="accent1"/>
            </a:fillRef>
            <a:effectRef idx="0">
              <a:schemeClr val="accent1"/>
            </a:effectRef>
            <a:fontRef idx="minor">
              <a:schemeClr val="tx1"/>
            </a:fontRef>
          </xdr:style>
        </xdr:cxnSp>
        <xdr:sp macro="" textlink="">
          <xdr:nvSpPr>
            <xdr:cNvPr id="154938" name="TextBox 56">
              <a:extLst>
                <a:ext uri="{FF2B5EF4-FFF2-40B4-BE49-F238E27FC236}">
                  <a16:creationId xmlns:a16="http://schemas.microsoft.com/office/drawing/2014/main" xmlns="" id="{FC975588-4468-40C2-AA64-AAF9A64D4919}"/>
                </a:ext>
              </a:extLst>
            </xdr:cNvPr>
            <xdr:cNvSpPr txBox="1">
              <a:spLocks noChangeArrowheads="1"/>
            </xdr:cNvSpPr>
          </xdr:nvSpPr>
          <xdr:spPr bwMode="auto">
            <a:xfrm>
              <a:off x="3230566" y="16136109"/>
              <a:ext cx="20932" cy="9758"/>
            </a:xfrm>
            <a:prstGeom prst="rect">
              <a:avLst/>
            </a:prstGeom>
            <a:noFill/>
            <a:ln w="34925" cmpd="dbl">
              <a:noFill/>
              <a:miter lim="800000"/>
              <a:headEnd/>
              <a:tailEnd/>
            </a:ln>
          </xdr:spPr>
          <xdr:txBody>
            <a:bodyPr vertOverflow="clip" wrap="square" lIns="27432" tIns="27432" rIns="0" bIns="0" anchor="t" upright="1"/>
            <a:lstStyle/>
            <a:p>
              <a:pPr algn="l" rtl="0">
                <a:defRPr sz="1000"/>
              </a:pPr>
              <a:r>
                <a:rPr lang="en-US" sz="1100" b="1" i="0" u="none" strike="noStrike" baseline="0">
                  <a:solidFill>
                    <a:srgbClr val="000000"/>
                  </a:solidFill>
                  <a:latin typeface="Calibri"/>
                </a:rPr>
                <a:t>+ CC</a:t>
              </a:r>
            </a:p>
          </xdr:txBody>
        </xdr:sp>
        <xdr:sp macro="" textlink="">
          <xdr:nvSpPr>
            <xdr:cNvPr id="154939" name="TextBox 57">
              <a:extLst>
                <a:ext uri="{FF2B5EF4-FFF2-40B4-BE49-F238E27FC236}">
                  <a16:creationId xmlns:a16="http://schemas.microsoft.com/office/drawing/2014/main" xmlns="" id="{18B9441E-46BA-4D26-BEDB-7A6B6E5D41E7}"/>
                </a:ext>
              </a:extLst>
            </xdr:cNvPr>
            <xdr:cNvSpPr txBox="1">
              <a:spLocks noChangeArrowheads="1"/>
            </xdr:cNvSpPr>
          </xdr:nvSpPr>
          <xdr:spPr bwMode="auto">
            <a:xfrm>
              <a:off x="3199167" y="16132450"/>
              <a:ext cx="10466" cy="9351"/>
            </a:xfrm>
            <a:prstGeom prst="rect">
              <a:avLst/>
            </a:prstGeom>
            <a:noFill/>
            <a:ln w="34925" cmpd="dbl">
              <a:noFill/>
              <a:miter lim="800000"/>
              <a:headEnd/>
              <a:tailEnd/>
            </a:ln>
          </xdr:spPr>
          <xdr:txBody>
            <a:bodyPr vertOverflow="clip" wrap="square" lIns="27432" tIns="27432" rIns="0" bIns="0" anchor="t" upright="1"/>
            <a:lstStyle/>
            <a:p>
              <a:pPr algn="l" rtl="0">
                <a:defRPr sz="1000"/>
              </a:pPr>
              <a:r>
                <a:rPr lang="en-US" sz="1100" b="1" i="0" u="none" strike="noStrike" baseline="0">
                  <a:solidFill>
                    <a:srgbClr val="FF0000"/>
                  </a:solidFill>
                  <a:latin typeface="Calibri"/>
                </a:rPr>
                <a:t>- CC</a:t>
              </a:r>
            </a:p>
          </xdr:txBody>
        </xdr:sp>
      </xdr:grpSp>
    </xdr:grpSp>
    <xdr:clientData/>
  </xdr:twoCellAnchor>
  <xdr:twoCellAnchor>
    <xdr:from>
      <xdr:col>5</xdr:col>
      <xdr:colOff>571500</xdr:colOff>
      <xdr:row>12</xdr:row>
      <xdr:rowOff>9525</xdr:rowOff>
    </xdr:from>
    <xdr:to>
      <xdr:col>6</xdr:col>
      <xdr:colOff>266700</xdr:colOff>
      <xdr:row>12</xdr:row>
      <xdr:rowOff>152400</xdr:rowOff>
    </xdr:to>
    <xdr:grpSp>
      <xdr:nvGrpSpPr>
        <xdr:cNvPr id="173730" name="Group 92">
          <a:extLst>
            <a:ext uri="{FF2B5EF4-FFF2-40B4-BE49-F238E27FC236}">
              <a16:creationId xmlns:a16="http://schemas.microsoft.com/office/drawing/2014/main" xmlns="" id="{8E2C2E69-511C-4791-87A1-FBEDCB381AAB}"/>
            </a:ext>
          </a:extLst>
        </xdr:cNvPr>
        <xdr:cNvGrpSpPr>
          <a:grpSpLocks/>
        </xdr:cNvGrpSpPr>
      </xdr:nvGrpSpPr>
      <xdr:grpSpPr bwMode="auto">
        <a:xfrm>
          <a:off x="4533900" y="4477251"/>
          <a:ext cx="385011" cy="142875"/>
          <a:chOff x="3144019" y="1571606"/>
          <a:chExt cx="300036" cy="150701"/>
        </a:xfrm>
      </xdr:grpSpPr>
      <xdr:sp macro="" textlink="">
        <xdr:nvSpPr>
          <xdr:cNvPr id="96" name="TextBox 95">
            <a:extLst>
              <a:ext uri="{FF2B5EF4-FFF2-40B4-BE49-F238E27FC236}">
                <a16:creationId xmlns:a16="http://schemas.microsoft.com/office/drawing/2014/main" xmlns="" id="{0FF682B0-E283-4543-B7D6-4B07EA83B7CF}"/>
              </a:ext>
            </a:extLst>
          </xdr:cNvPr>
          <xdr:cNvSpPr txBox="1">
            <a:spLocks/>
          </xdr:cNvSpPr>
        </xdr:nvSpPr>
        <xdr:spPr>
          <a:xfrm>
            <a:off x="3222976" y="1571606"/>
            <a:ext cx="142122" cy="150701"/>
          </a:xfrm>
          <a:prstGeom prst="rect">
            <a:avLst/>
          </a:prstGeom>
          <a:solidFill>
            <a:srgbClr val="FFFFCC"/>
          </a:solidFill>
          <a:ln w="6350" cmpd="sng">
            <a:solidFill>
              <a:schemeClr val="tx1">
                <a:lumMod val="95000"/>
                <a:lumOff val="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noAutofit/>
          </a:bodyPr>
          <a:lstStyle/>
          <a:p>
            <a:endParaRPr lang="ru-RU"/>
          </a:p>
        </xdr:txBody>
      </xdr:sp>
      <xdr:sp macro="" textlink="">
        <xdr:nvSpPr>
          <xdr:cNvPr id="97" name="TextBox 96">
            <a:extLst>
              <a:ext uri="{FF2B5EF4-FFF2-40B4-BE49-F238E27FC236}">
                <a16:creationId xmlns:a16="http://schemas.microsoft.com/office/drawing/2014/main" xmlns="" id="{A12F5584-52BC-4168-88C3-141586F39266}"/>
              </a:ext>
            </a:extLst>
          </xdr:cNvPr>
          <xdr:cNvSpPr txBox="1">
            <a:spLocks/>
          </xdr:cNvSpPr>
        </xdr:nvSpPr>
        <xdr:spPr>
          <a:xfrm>
            <a:off x="3144019" y="1571606"/>
            <a:ext cx="300036" cy="150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noAutofit/>
          </a:bodyPr>
          <a:lstStyle/>
          <a:p>
            <a:pPr algn="ctr"/>
            <a:r>
              <a:rPr lang="en-US" sz="800" b="1">
                <a:solidFill>
                  <a:sysClr val="windowText" lastClr="000000"/>
                </a:solidFill>
                <a:latin typeface="Arial" pitchFamily="34" charset="0"/>
                <a:cs typeface="Arial" pitchFamily="34" charset="0"/>
              </a:rPr>
              <a:t>12</a:t>
            </a:r>
          </a:p>
        </xdr:txBody>
      </xdr:sp>
    </xdr:grpSp>
    <xdr:clientData/>
  </xdr:twoCellAnchor>
  <xdr:twoCellAnchor>
    <xdr:from>
      <xdr:col>6</xdr:col>
      <xdr:colOff>609600</xdr:colOff>
      <xdr:row>12</xdr:row>
      <xdr:rowOff>9525</xdr:rowOff>
    </xdr:from>
    <xdr:to>
      <xdr:col>7</xdr:col>
      <xdr:colOff>304800</xdr:colOff>
      <xdr:row>12</xdr:row>
      <xdr:rowOff>152400</xdr:rowOff>
    </xdr:to>
    <xdr:grpSp>
      <xdr:nvGrpSpPr>
        <xdr:cNvPr id="173731" name="Group 92">
          <a:extLst>
            <a:ext uri="{FF2B5EF4-FFF2-40B4-BE49-F238E27FC236}">
              <a16:creationId xmlns:a16="http://schemas.microsoft.com/office/drawing/2014/main" xmlns="" id="{4A692B29-3923-4168-8E01-244C48865D2F}"/>
            </a:ext>
          </a:extLst>
        </xdr:cNvPr>
        <xdr:cNvGrpSpPr>
          <a:grpSpLocks/>
        </xdr:cNvGrpSpPr>
      </xdr:nvGrpSpPr>
      <xdr:grpSpPr bwMode="auto">
        <a:xfrm>
          <a:off x="5261811" y="4477251"/>
          <a:ext cx="425115" cy="142875"/>
          <a:chOff x="3138488" y="1571118"/>
          <a:chExt cx="300036" cy="151192"/>
        </a:xfrm>
      </xdr:grpSpPr>
      <xdr:sp macro="" textlink="">
        <xdr:nvSpPr>
          <xdr:cNvPr id="99" name="TextBox 98">
            <a:extLst>
              <a:ext uri="{FF2B5EF4-FFF2-40B4-BE49-F238E27FC236}">
                <a16:creationId xmlns:a16="http://schemas.microsoft.com/office/drawing/2014/main" xmlns="" id="{BD125413-5766-4AA6-BC4E-76A7AC9DAD78}"/>
              </a:ext>
            </a:extLst>
          </xdr:cNvPr>
          <xdr:cNvSpPr txBox="1">
            <a:spLocks/>
          </xdr:cNvSpPr>
        </xdr:nvSpPr>
        <xdr:spPr>
          <a:xfrm>
            <a:off x="3222219" y="1571118"/>
            <a:ext cx="146529" cy="151192"/>
          </a:xfrm>
          <a:prstGeom prst="rect">
            <a:avLst/>
          </a:prstGeom>
          <a:solidFill>
            <a:srgbClr val="FFFFCC"/>
          </a:solidFill>
          <a:ln w="6350" cmpd="sng">
            <a:solidFill>
              <a:schemeClr val="tx1">
                <a:lumMod val="95000"/>
                <a:lumOff val="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noAutofit/>
          </a:bodyPr>
          <a:lstStyle/>
          <a:p>
            <a:endParaRPr lang="ru-RU"/>
          </a:p>
        </xdr:txBody>
      </xdr:sp>
      <xdr:sp macro="" textlink="">
        <xdr:nvSpPr>
          <xdr:cNvPr id="100" name="TextBox 99">
            <a:extLst>
              <a:ext uri="{FF2B5EF4-FFF2-40B4-BE49-F238E27FC236}">
                <a16:creationId xmlns:a16="http://schemas.microsoft.com/office/drawing/2014/main" xmlns="" id="{B16D6F97-9AA4-49A2-98E6-20D380466635}"/>
              </a:ext>
            </a:extLst>
          </xdr:cNvPr>
          <xdr:cNvSpPr txBox="1">
            <a:spLocks/>
          </xdr:cNvSpPr>
        </xdr:nvSpPr>
        <xdr:spPr>
          <a:xfrm>
            <a:off x="3138488" y="1571118"/>
            <a:ext cx="300036" cy="151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noAutofit/>
          </a:bodyPr>
          <a:lstStyle/>
          <a:p>
            <a:pPr algn="ctr"/>
            <a:r>
              <a:rPr lang="en-US" sz="800" b="1">
                <a:solidFill>
                  <a:sysClr val="windowText" lastClr="000000"/>
                </a:solidFill>
                <a:latin typeface="Arial" pitchFamily="34" charset="0"/>
                <a:cs typeface="Arial" pitchFamily="34" charset="0"/>
              </a:rPr>
              <a:t>13</a:t>
            </a:r>
          </a:p>
        </xdr:txBody>
      </xdr:sp>
    </xdr:grpSp>
    <xdr:clientData/>
  </xdr:twoCellAnchor>
  <xdr:twoCellAnchor>
    <xdr:from>
      <xdr:col>10</xdr:col>
      <xdr:colOff>114300</xdr:colOff>
      <xdr:row>11</xdr:row>
      <xdr:rowOff>371475</xdr:rowOff>
    </xdr:from>
    <xdr:to>
      <xdr:col>14</xdr:col>
      <xdr:colOff>314325</xdr:colOff>
      <xdr:row>12</xdr:row>
      <xdr:rowOff>219075</xdr:rowOff>
    </xdr:to>
    <xdr:grpSp>
      <xdr:nvGrpSpPr>
        <xdr:cNvPr id="173732" name="Group 206">
          <a:extLst>
            <a:ext uri="{FF2B5EF4-FFF2-40B4-BE49-F238E27FC236}">
              <a16:creationId xmlns:a16="http://schemas.microsoft.com/office/drawing/2014/main" xmlns="" id="{BCFEAC08-E61F-4C81-8C32-1539E6EF65A8}"/>
            </a:ext>
          </a:extLst>
        </xdr:cNvPr>
        <xdr:cNvGrpSpPr>
          <a:grpSpLocks/>
        </xdr:cNvGrpSpPr>
      </xdr:nvGrpSpPr>
      <xdr:grpSpPr bwMode="auto">
        <a:xfrm>
          <a:off x="7654089" y="4446170"/>
          <a:ext cx="2213310" cy="240631"/>
          <a:chOff x="7105650" y="4486275"/>
          <a:chExt cx="2171700" cy="247650"/>
        </a:xfrm>
      </xdr:grpSpPr>
      <xdr:sp macro="" textlink="">
        <xdr:nvSpPr>
          <xdr:cNvPr id="123" name="TextBox 122">
            <a:extLst>
              <a:ext uri="{FF2B5EF4-FFF2-40B4-BE49-F238E27FC236}">
                <a16:creationId xmlns:a16="http://schemas.microsoft.com/office/drawing/2014/main" xmlns="" id="{FB53F784-6143-4774-B6E4-21CE55EEBEDA}"/>
              </a:ext>
            </a:extLst>
          </xdr:cNvPr>
          <xdr:cNvSpPr txBox="1"/>
        </xdr:nvSpPr>
        <xdr:spPr>
          <a:xfrm>
            <a:off x="7400925" y="4486275"/>
            <a:ext cx="18764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300" b="1" i="1">
                <a:latin typeface="Cambria" pitchFamily="18" charset="0"/>
              </a:rPr>
              <a:t> Calibration</a:t>
            </a:r>
          </a:p>
        </xdr:txBody>
      </xdr:sp>
      <xdr:sp macro="" textlink="">
        <xdr:nvSpPr>
          <xdr:cNvPr id="205" name="TextBox 204">
            <a:extLst>
              <a:ext uri="{FF2B5EF4-FFF2-40B4-BE49-F238E27FC236}">
                <a16:creationId xmlns:a16="http://schemas.microsoft.com/office/drawing/2014/main" xmlns="" id="{DD47F42E-C0A4-4980-821F-317E44702CBA}"/>
              </a:ext>
            </a:extLst>
          </xdr:cNvPr>
          <xdr:cNvSpPr txBox="1">
            <a:spLocks/>
          </xdr:cNvSpPr>
        </xdr:nvSpPr>
        <xdr:spPr bwMode="auto">
          <a:xfrm>
            <a:off x="7229475" y="4524375"/>
            <a:ext cx="209550" cy="142875"/>
          </a:xfrm>
          <a:prstGeom prst="rect">
            <a:avLst/>
          </a:prstGeom>
          <a:solidFill>
            <a:srgbClr val="FFFFCC"/>
          </a:solidFill>
          <a:ln w="6350" cmpd="sng">
            <a:solidFill>
              <a:schemeClr val="tx1">
                <a:lumMod val="95000"/>
                <a:lumOff val="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noAutofit/>
          </a:bodyPr>
          <a:lstStyle/>
          <a:p>
            <a:endParaRPr lang="ru-RU"/>
          </a:p>
        </xdr:txBody>
      </xdr:sp>
      <xdr:sp macro="" textlink="">
        <xdr:nvSpPr>
          <xdr:cNvPr id="206" name="TextBox 205">
            <a:extLst>
              <a:ext uri="{FF2B5EF4-FFF2-40B4-BE49-F238E27FC236}">
                <a16:creationId xmlns:a16="http://schemas.microsoft.com/office/drawing/2014/main" xmlns="" id="{94FC873A-90CB-4A09-B399-6DAFDC7FE27C}"/>
              </a:ext>
            </a:extLst>
          </xdr:cNvPr>
          <xdr:cNvSpPr txBox="1">
            <a:spLocks/>
          </xdr:cNvSpPr>
        </xdr:nvSpPr>
        <xdr:spPr bwMode="auto">
          <a:xfrm>
            <a:off x="7105650" y="4524375"/>
            <a:ext cx="438150" cy="142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noAutofit/>
          </a:bodyPr>
          <a:lstStyle/>
          <a:p>
            <a:pPr algn="ctr"/>
            <a:r>
              <a:rPr lang="en-US" sz="800" b="1">
                <a:solidFill>
                  <a:sysClr val="windowText" lastClr="000000"/>
                </a:solidFill>
                <a:latin typeface="Arial" pitchFamily="34" charset="0"/>
                <a:cs typeface="Arial" pitchFamily="34" charset="0"/>
              </a:rPr>
              <a:t>14</a:t>
            </a:r>
          </a:p>
        </xdr:txBody>
      </xdr:sp>
    </xdr:grpSp>
    <xdr:clientData/>
  </xdr:twoCellAnchor>
  <xdr:twoCellAnchor editAs="absolute">
    <xdr:from>
      <xdr:col>9</xdr:col>
      <xdr:colOff>9525</xdr:colOff>
      <xdr:row>4</xdr:row>
      <xdr:rowOff>657225</xdr:rowOff>
    </xdr:from>
    <xdr:to>
      <xdr:col>9</xdr:col>
      <xdr:colOff>352425</xdr:colOff>
      <xdr:row>12</xdr:row>
      <xdr:rowOff>361950</xdr:rowOff>
    </xdr:to>
    <xdr:grpSp>
      <xdr:nvGrpSpPr>
        <xdr:cNvPr id="173733" name="Group 110">
          <a:extLst>
            <a:ext uri="{FF2B5EF4-FFF2-40B4-BE49-F238E27FC236}">
              <a16:creationId xmlns:a16="http://schemas.microsoft.com/office/drawing/2014/main" xmlns="" id="{A87CCCD5-798F-4E83-A869-9AA5A863189B}"/>
            </a:ext>
            <a:ext uri="{147F2762-F138-4A5C-976F-8EAC2B608ADB}">
              <a16:predDERef xmlns:a16="http://schemas.microsoft.com/office/drawing/2014/main" xmlns="" pred="{BCFEAC08-E61F-4C81-8C32-1539E6EF65A8}"/>
            </a:ext>
          </a:extLst>
        </xdr:cNvPr>
        <xdr:cNvGrpSpPr>
          <a:grpSpLocks noChangeAspect="1"/>
        </xdr:cNvGrpSpPr>
      </xdr:nvGrpSpPr>
      <xdr:grpSpPr bwMode="auto">
        <a:xfrm>
          <a:off x="6859504" y="2670509"/>
          <a:ext cx="342900" cy="2159167"/>
          <a:chOff x="6652913" y="3062032"/>
          <a:chExt cx="388173" cy="1828800"/>
        </a:xfrm>
      </xdr:grpSpPr>
      <xdr:cxnSp macro="">
        <xdr:nvCxnSpPr>
          <xdr:cNvPr id="104" name="Straight Arrow Connector 103">
            <a:extLst>
              <a:ext uri="{FF2B5EF4-FFF2-40B4-BE49-F238E27FC236}">
                <a16:creationId xmlns:a16="http://schemas.microsoft.com/office/drawing/2014/main" xmlns="" id="{6EE003EF-6354-4CAF-9CC1-59C97AFB01B3}"/>
              </a:ext>
            </a:extLst>
          </xdr:cNvPr>
          <xdr:cNvCxnSpPr/>
        </xdr:nvCxnSpPr>
        <xdr:spPr>
          <a:xfrm rot="10800000">
            <a:off x="6652913" y="4882881"/>
            <a:ext cx="388173" cy="0"/>
          </a:xfrm>
          <a:prstGeom prst="straightConnector1">
            <a:avLst/>
          </a:prstGeom>
          <a:ln w="31750">
            <a:solidFill>
              <a:srgbClr val="C00000"/>
            </a:solidFill>
            <a:tailEnd type="arrow"/>
          </a:ln>
        </xdr:spPr>
        <xdr:style>
          <a:lnRef idx="1">
            <a:schemeClr val="accent1"/>
          </a:lnRef>
          <a:fillRef idx="0">
            <a:schemeClr val="accent1"/>
          </a:fillRef>
          <a:effectRef idx="0">
            <a:schemeClr val="accent1"/>
          </a:effectRef>
          <a:fontRef idx="minor">
            <a:schemeClr val="tx1"/>
          </a:fontRef>
        </xdr:style>
      </xdr:cxnSp>
      <xdr:cxnSp macro="">
        <xdr:nvCxnSpPr>
          <xdr:cNvPr id="110" name="Straight Connector 109">
            <a:extLst>
              <a:ext uri="{FF2B5EF4-FFF2-40B4-BE49-F238E27FC236}">
                <a16:creationId xmlns:a16="http://schemas.microsoft.com/office/drawing/2014/main" xmlns="" id="{3C7955BB-E1C7-46EA-B1E9-7ADF1A87BE9A}"/>
              </a:ext>
            </a:extLst>
          </xdr:cNvPr>
          <xdr:cNvCxnSpPr/>
        </xdr:nvCxnSpPr>
        <xdr:spPr>
          <a:xfrm rot="16200000" flipV="1">
            <a:off x="6110513" y="3971040"/>
            <a:ext cx="1828800" cy="10783"/>
          </a:xfrm>
          <a:prstGeom prst="line">
            <a:avLst/>
          </a:prstGeom>
          <a:ln w="31750">
            <a:solidFill>
              <a:srgbClr val="C00000"/>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AK311"/>
  <sheetViews>
    <sheetView showGridLines="0" tabSelected="1" zoomScale="95" zoomScaleNormal="95" workbookViewId="0">
      <selection activeCell="C13" sqref="C13"/>
    </sheetView>
  </sheetViews>
  <sheetFormatPr defaultRowHeight="13.2" x14ac:dyDescent="0.25"/>
  <cols>
    <col min="1" max="1" width="5" customWidth="1"/>
    <col min="2" max="2" width="16" customWidth="1"/>
    <col min="3" max="3" width="16.5546875" style="1" customWidth="1"/>
    <col min="4" max="6" width="10" style="1" customWidth="1"/>
    <col min="7" max="7" width="10.6640625" style="1" customWidth="1"/>
    <col min="8" max="8" width="11.33203125" style="1" customWidth="1"/>
    <col min="9" max="10" width="10" customWidth="1"/>
    <col min="11" max="11" width="3.44140625" customWidth="1"/>
    <col min="12" max="16" width="8.6640625" customWidth="1"/>
    <col min="17" max="17" width="3.6640625" customWidth="1"/>
    <col min="18" max="18" width="5.33203125" customWidth="1"/>
    <col min="21" max="21" width="12.88671875" customWidth="1"/>
    <col min="22" max="22" width="11.5546875" customWidth="1"/>
    <col min="31" max="31" width="13.33203125" customWidth="1"/>
  </cols>
  <sheetData>
    <row r="2" spans="2:36" ht="78" customHeight="1" thickBot="1" x14ac:dyDescent="0.3">
      <c r="B2" s="16"/>
      <c r="C2" s="17"/>
      <c r="D2" s="18"/>
      <c r="E2" s="17"/>
      <c r="F2" s="19"/>
      <c r="G2" s="17"/>
      <c r="H2" s="18"/>
      <c r="I2" s="18"/>
      <c r="J2" s="18"/>
      <c r="K2" s="18"/>
      <c r="L2" s="18"/>
      <c r="M2" s="18"/>
      <c r="N2" s="18"/>
      <c r="O2" s="18"/>
      <c r="P2" s="18"/>
      <c r="Q2" s="18"/>
      <c r="R2" s="8"/>
      <c r="S2" s="8"/>
    </row>
    <row r="3" spans="2:36" ht="21.75" customHeight="1" x14ac:dyDescent="0.25">
      <c r="B3" s="16"/>
      <c r="C3" s="52" t="s">
        <v>96</v>
      </c>
      <c r="D3" s="34"/>
      <c r="E3" s="34"/>
      <c r="F3" s="34"/>
      <c r="G3" s="34"/>
      <c r="H3" s="34"/>
      <c r="I3" s="262" t="s">
        <v>300</v>
      </c>
      <c r="J3" s="35"/>
      <c r="K3" s="43"/>
      <c r="L3" s="269" t="s">
        <v>103</v>
      </c>
      <c r="M3" s="270"/>
      <c r="N3" s="270"/>
      <c r="O3" s="270"/>
      <c r="P3" s="271"/>
      <c r="Q3" s="16"/>
    </row>
    <row r="4" spans="2:36" ht="45.75" customHeight="1" thickBot="1" x14ac:dyDescent="0.3">
      <c r="B4" s="16"/>
      <c r="C4" s="31" t="s">
        <v>16</v>
      </c>
      <c r="D4" s="32" t="s">
        <v>93</v>
      </c>
      <c r="E4" s="32" t="s">
        <v>17</v>
      </c>
      <c r="F4" s="32" t="s">
        <v>92</v>
      </c>
      <c r="G4" s="32" t="s">
        <v>95</v>
      </c>
      <c r="H4" s="32" t="s">
        <v>27</v>
      </c>
      <c r="I4" s="263"/>
      <c r="J4" s="33" t="s">
        <v>20</v>
      </c>
      <c r="K4" s="16"/>
      <c r="L4" s="31" t="s">
        <v>18</v>
      </c>
      <c r="M4" s="32" t="s">
        <v>90</v>
      </c>
      <c r="N4" s="32" t="s">
        <v>19</v>
      </c>
      <c r="O4" s="32" t="s">
        <v>102</v>
      </c>
      <c r="P4" s="33" t="s">
        <v>94</v>
      </c>
      <c r="Q4" s="16"/>
    </row>
    <row r="5" spans="2:36" ht="52.5" customHeight="1" thickTop="1" thickBot="1" x14ac:dyDescent="0.3">
      <c r="B5" s="16"/>
      <c r="C5" s="36">
        <v>1916</v>
      </c>
      <c r="D5" s="37">
        <v>30</v>
      </c>
      <c r="E5" s="38">
        <v>90</v>
      </c>
      <c r="F5" s="38">
        <v>16</v>
      </c>
      <c r="G5" s="39" t="s">
        <v>101</v>
      </c>
      <c r="H5" s="38">
        <v>15.5</v>
      </c>
      <c r="I5" s="40" t="s">
        <v>14</v>
      </c>
      <c r="J5" s="7">
        <f>P21+(P21*9.5-L5)*2.5%+(VLOOKUP(C5,C23:I200,7)-11/32)*30</f>
        <v>54.040927643336268</v>
      </c>
      <c r="K5" s="16"/>
      <c r="L5" s="46">
        <f>(VLOOKUP(C5,C23:H200,6))*D5+E5+F5+VLOOKUP(I5,P23:R34,3)+H5+IF(G5="Yes",G7,0)</f>
        <v>440.83448275862071</v>
      </c>
      <c r="M5" s="45">
        <f>L5/(D13+(F13-E13)*(3+LOG(D13/(100-D13))*3))</f>
        <v>11.600907441016334</v>
      </c>
      <c r="N5" s="47">
        <f>(D5/2-M21)/D5*100</f>
        <v>8.5349493906540861</v>
      </c>
      <c r="O5" s="45">
        <f>200/(LOG(L5/(VLOOKUP(C13,C203:D307,2)*(D13+(F13-E13)*(3+LOG(D13/(100-D13))*3))*(VLOOKUP(H13,P51:R57,3)-0.05)),10))-20</f>
        <v>168.95483292136686</v>
      </c>
      <c r="P5" s="48">
        <f>(L5/451080)*(O5*O5)</f>
        <v>27.897367593015627</v>
      </c>
      <c r="Q5" s="16"/>
    </row>
    <row r="6" spans="2:36" ht="18.899999999999999" customHeight="1" thickBot="1" x14ac:dyDescent="0.3">
      <c r="B6" s="20"/>
      <c r="C6" s="57">
        <v>0</v>
      </c>
      <c r="D6" s="62" t="s">
        <v>296</v>
      </c>
      <c r="E6" s="29"/>
      <c r="F6" s="29"/>
      <c r="G6" s="41">
        <v>0</v>
      </c>
      <c r="H6" s="61" t="s">
        <v>294</v>
      </c>
      <c r="I6" s="60">
        <v>18.3</v>
      </c>
      <c r="J6" s="22"/>
      <c r="K6" s="22"/>
      <c r="L6" s="16"/>
      <c r="M6" s="16"/>
      <c r="N6" s="16"/>
      <c r="O6" s="16"/>
      <c r="P6" s="16"/>
      <c r="Q6" s="16"/>
    </row>
    <row r="7" spans="2:36" ht="18.899999999999999" customHeight="1" thickBot="1" x14ac:dyDescent="0.3">
      <c r="B7" s="21"/>
      <c r="C7" s="58">
        <v>0</v>
      </c>
      <c r="D7" s="28" t="s">
        <v>297</v>
      </c>
      <c r="E7" s="29"/>
      <c r="F7" s="29"/>
      <c r="G7" s="42">
        <v>0</v>
      </c>
      <c r="H7" s="61" t="s">
        <v>295</v>
      </c>
      <c r="I7" s="260" t="s">
        <v>154</v>
      </c>
      <c r="J7" s="22"/>
      <c r="K7" s="22"/>
      <c r="L7" s="22"/>
      <c r="M7" s="25"/>
      <c r="N7" s="25"/>
      <c r="O7" s="25"/>
      <c r="P7" s="25"/>
      <c r="Q7" s="22"/>
      <c r="R7" s="3"/>
      <c r="S7" s="3"/>
    </row>
    <row r="8" spans="2:36" ht="18.899999999999999" customHeight="1" thickBot="1" x14ac:dyDescent="0.3">
      <c r="B8" s="21"/>
      <c r="C8" s="59">
        <v>0</v>
      </c>
      <c r="D8" s="272" t="s">
        <v>302</v>
      </c>
      <c r="E8" s="272"/>
      <c r="F8" s="272"/>
      <c r="G8" s="17"/>
      <c r="H8" s="30"/>
      <c r="I8" s="261"/>
      <c r="J8" s="22"/>
      <c r="K8" s="22"/>
      <c r="L8" s="22"/>
      <c r="M8" s="25"/>
      <c r="N8" s="25"/>
      <c r="O8" s="25"/>
      <c r="P8" s="25"/>
      <c r="Q8" s="22"/>
      <c r="R8" s="3"/>
      <c r="S8" s="3"/>
    </row>
    <row r="9" spans="2:36" ht="16.5" customHeight="1" thickBot="1" x14ac:dyDescent="0.3">
      <c r="B9" s="16"/>
      <c r="C9" s="27"/>
      <c r="D9" s="273"/>
      <c r="E9" s="273"/>
      <c r="F9" s="273"/>
      <c r="G9" s="17"/>
      <c r="H9" s="17"/>
      <c r="I9" s="16"/>
      <c r="J9" s="16"/>
      <c r="K9" s="16"/>
      <c r="L9" s="16"/>
      <c r="M9" s="26"/>
      <c r="N9" s="26"/>
      <c r="O9" s="26"/>
      <c r="P9" s="26"/>
      <c r="Q9" s="16"/>
    </row>
    <row r="10" spans="2:36" ht="21.75" customHeight="1" x14ac:dyDescent="0.25">
      <c r="B10" s="16"/>
      <c r="C10" s="52" t="s">
        <v>97</v>
      </c>
      <c r="D10" s="34"/>
      <c r="E10" s="34"/>
      <c r="F10" s="34"/>
      <c r="G10" s="262" t="s">
        <v>298</v>
      </c>
      <c r="H10" s="34"/>
      <c r="I10" s="283" t="s">
        <v>299</v>
      </c>
      <c r="J10" s="16"/>
      <c r="K10" s="16"/>
      <c r="L10" s="16"/>
      <c r="M10" s="26"/>
      <c r="N10" s="26"/>
      <c r="O10" s="26"/>
      <c r="P10" s="26"/>
      <c r="Q10" s="16"/>
    </row>
    <row r="11" spans="2:36" ht="17.25" customHeight="1" x14ac:dyDescent="0.25">
      <c r="B11" s="16"/>
      <c r="C11" s="281" t="s">
        <v>138</v>
      </c>
      <c r="D11" s="264" t="s">
        <v>104</v>
      </c>
      <c r="E11" s="264" t="s">
        <v>105</v>
      </c>
      <c r="F11" s="264" t="s">
        <v>292</v>
      </c>
      <c r="G11" s="286"/>
      <c r="H11" s="264" t="s">
        <v>21</v>
      </c>
      <c r="I11" s="284"/>
      <c r="J11" s="16"/>
      <c r="K11" s="16"/>
      <c r="L11" s="16"/>
      <c r="M11" s="26"/>
      <c r="N11" s="26"/>
      <c r="O11" s="26"/>
      <c r="P11" s="26"/>
      <c r="Q11" s="16"/>
    </row>
    <row r="12" spans="2:36" ht="31.5" customHeight="1" thickBot="1" x14ac:dyDescent="0.3">
      <c r="B12" s="16"/>
      <c r="C12" s="282"/>
      <c r="D12" s="265"/>
      <c r="E12" s="265"/>
      <c r="F12" s="265"/>
      <c r="G12" s="263"/>
      <c r="H12" s="265"/>
      <c r="I12" s="285"/>
      <c r="J12" s="16"/>
      <c r="K12" s="16"/>
      <c r="L12" s="16"/>
      <c r="M12" s="26"/>
      <c r="N12" s="26"/>
      <c r="O12" s="26"/>
      <c r="P12" s="26"/>
      <c r="Q12" s="16"/>
    </row>
    <row r="13" spans="2:36" ht="52.5" customHeight="1" thickTop="1" thickBot="1" x14ac:dyDescent="0.3">
      <c r="B13" s="16"/>
      <c r="C13" s="49" t="s">
        <v>209</v>
      </c>
      <c r="D13" s="50">
        <v>38</v>
      </c>
      <c r="E13" s="50">
        <v>28</v>
      </c>
      <c r="F13" s="50">
        <v>28</v>
      </c>
      <c r="G13" s="53">
        <v>-6.25E-2</v>
      </c>
      <c r="H13" s="51" t="s">
        <v>123</v>
      </c>
      <c r="I13" s="7">
        <f>VLOOKUP(C13,C203:F307,2)*(D13+(F13-E13)*(3+(LOG((D13/(241-D13)+2.4),1.138)-7.59)*3))*VLOOKUP(H13,P51:R57,3)*(1+(0.015*P13))+VLOOKUP(M22,S23:T113,2)</f>
        <v>50.508000000000003</v>
      </c>
      <c r="J13" s="16"/>
      <c r="K13" s="16"/>
      <c r="L13" s="279" t="s">
        <v>135</v>
      </c>
      <c r="M13" s="280"/>
      <c r="N13" s="280"/>
      <c r="O13" s="280"/>
      <c r="P13" s="44">
        <v>0</v>
      </c>
      <c r="Q13" s="16"/>
    </row>
    <row r="14" spans="2:36" ht="21" customHeight="1" thickBot="1" x14ac:dyDescent="0.3">
      <c r="B14" s="22"/>
      <c r="C14" s="276" t="s">
        <v>301</v>
      </c>
      <c r="D14" s="277"/>
      <c r="E14" s="277"/>
      <c r="F14" s="277"/>
      <c r="G14" s="54">
        <v>0.06</v>
      </c>
      <c r="H14" s="274" t="s">
        <v>211</v>
      </c>
      <c r="I14" s="275"/>
      <c r="J14" s="22"/>
      <c r="K14" s="22"/>
      <c r="L14" s="55"/>
      <c r="M14" s="55"/>
      <c r="N14" s="55"/>
      <c r="O14" s="55"/>
      <c r="P14" s="56"/>
      <c r="Q14" s="22"/>
    </row>
    <row r="15" spans="2:36" s="3" customFormat="1" ht="16.5" customHeight="1" x14ac:dyDescent="0.25">
      <c r="B15" s="22"/>
      <c r="C15" s="278"/>
      <c r="D15" s="278"/>
      <c r="E15" s="278"/>
      <c r="F15" s="278"/>
      <c r="G15" s="23"/>
      <c r="H15" s="23"/>
      <c r="I15" s="22"/>
      <c r="J15" s="22"/>
      <c r="K15" s="22"/>
      <c r="L15" s="22"/>
      <c r="M15" s="22"/>
      <c r="N15" s="22"/>
      <c r="O15" s="22"/>
      <c r="P15" s="22"/>
      <c r="Q15" s="24"/>
      <c r="R15" s="10"/>
      <c r="S15" s="11"/>
      <c r="AJ15"/>
    </row>
    <row r="16" spans="2:36" s="3" customFormat="1" ht="18.75" customHeight="1" thickBot="1" x14ac:dyDescent="0.3">
      <c r="C16" s="4"/>
      <c r="D16" s="4"/>
      <c r="E16" s="13"/>
      <c r="F16" s="13"/>
      <c r="G16" s="9"/>
      <c r="H16" s="9"/>
      <c r="Q16" s="10"/>
      <c r="R16" s="10"/>
      <c r="S16" s="11"/>
      <c r="AJ16"/>
    </row>
    <row r="17" spans="2:33" ht="19.5" customHeight="1" thickBot="1" x14ac:dyDescent="0.3">
      <c r="B17" s="287" t="s">
        <v>30</v>
      </c>
      <c r="C17" s="287"/>
      <c r="D17" s="290" t="s">
        <v>31</v>
      </c>
      <c r="E17" s="291"/>
      <c r="F17" s="290" t="s">
        <v>32</v>
      </c>
      <c r="G17" s="291"/>
      <c r="H17" s="2"/>
      <c r="J17" s="14"/>
      <c r="K17" s="3"/>
      <c r="L17" s="3"/>
      <c r="M17" s="3"/>
      <c r="N17" s="3"/>
      <c r="O17" s="3"/>
      <c r="P17" s="3"/>
      <c r="Q17" s="10"/>
      <c r="R17" s="10"/>
      <c r="S17" s="11"/>
      <c r="T17" s="3"/>
      <c r="U17" s="3"/>
      <c r="V17" s="294"/>
      <c r="W17" s="294"/>
      <c r="X17" s="294"/>
      <c r="Y17" s="294"/>
      <c r="Z17" s="294"/>
      <c r="AA17" s="294"/>
      <c r="AB17" s="294"/>
      <c r="AC17" s="294"/>
      <c r="AG17" s="3"/>
    </row>
    <row r="18" spans="2:33" ht="17.25" customHeight="1" x14ac:dyDescent="0.3">
      <c r="B18" s="288" t="s">
        <v>98</v>
      </c>
      <c r="C18" s="288"/>
      <c r="D18" s="268">
        <v>0</v>
      </c>
      <c r="E18" s="268"/>
      <c r="F18" s="266" t="e">
        <f>26/D18</f>
        <v>#DIV/0!</v>
      </c>
      <c r="G18" s="266"/>
      <c r="H18" s="2"/>
      <c r="I18" s="14"/>
      <c r="J18" s="3"/>
      <c r="K18" s="3"/>
      <c r="L18" s="12"/>
      <c r="M18" s="12"/>
      <c r="N18" s="12"/>
      <c r="O18" s="3"/>
      <c r="P18" s="3"/>
      <c r="Q18" s="10"/>
      <c r="S18" s="11"/>
      <c r="T18" s="3"/>
      <c r="U18" s="3"/>
      <c r="V18" s="294"/>
      <c r="W18" s="294"/>
      <c r="X18" s="294"/>
      <c r="Y18" s="294"/>
      <c r="Z18" s="294"/>
      <c r="AA18" s="294"/>
      <c r="AB18" s="294"/>
      <c r="AC18" s="294"/>
      <c r="AG18" s="3"/>
    </row>
    <row r="19" spans="2:33" ht="17.25" customHeight="1" thickBot="1" x14ac:dyDescent="0.35">
      <c r="B19" s="288" t="s">
        <v>99</v>
      </c>
      <c r="C19" s="288"/>
      <c r="D19" s="289">
        <v>0</v>
      </c>
      <c r="E19" s="289"/>
      <c r="F19" s="293" t="e">
        <f>26/(D19*0.825)</f>
        <v>#DIV/0!</v>
      </c>
      <c r="G19" s="293"/>
      <c r="H19" s="2"/>
      <c r="I19" s="3"/>
      <c r="J19" s="3"/>
      <c r="K19" s="3"/>
      <c r="L19" s="12"/>
      <c r="M19" s="12"/>
      <c r="N19" s="12"/>
      <c r="O19" s="14"/>
      <c r="P19" s="15"/>
      <c r="Q19" s="3"/>
      <c r="R19" s="3"/>
      <c r="S19" s="3"/>
      <c r="T19" s="3"/>
      <c r="U19" s="3"/>
      <c r="V19" s="294"/>
      <c r="W19" s="294"/>
      <c r="X19" s="294"/>
      <c r="Y19" s="294"/>
      <c r="Z19" s="294"/>
      <c r="AA19" s="294"/>
      <c r="AB19" s="294"/>
      <c r="AC19" s="294"/>
    </row>
    <row r="20" spans="2:33" ht="54.75" customHeight="1" x14ac:dyDescent="0.25">
      <c r="B20" s="3"/>
      <c r="C20" s="4"/>
      <c r="D20" s="4"/>
      <c r="E20" s="4"/>
      <c r="F20" s="6"/>
      <c r="G20" s="6"/>
      <c r="H20" s="5"/>
      <c r="I20" s="5"/>
      <c r="J20" s="3"/>
      <c r="K20" s="3"/>
      <c r="L20" s="3"/>
      <c r="M20" s="3"/>
      <c r="N20" s="3"/>
      <c r="O20" s="3"/>
      <c r="P20" s="3"/>
      <c r="Q20" s="3"/>
      <c r="R20" s="3"/>
      <c r="S20" s="3"/>
      <c r="T20" s="3"/>
      <c r="U20" s="3"/>
      <c r="V20" s="294"/>
      <c r="W20" s="294"/>
      <c r="X20" s="294"/>
      <c r="Y20" s="294"/>
      <c r="Z20" s="294"/>
      <c r="AA20" s="294"/>
      <c r="AB20" s="294"/>
      <c r="AC20" s="294"/>
    </row>
    <row r="21" spans="2:33" s="202" customFormat="1" ht="41.25" customHeight="1" x14ac:dyDescent="0.25">
      <c r="C21" s="208" t="s">
        <v>15</v>
      </c>
      <c r="D21" s="209"/>
      <c r="E21" s="209"/>
      <c r="F21" s="209"/>
      <c r="G21" s="209"/>
      <c r="H21" s="210"/>
      <c r="I21" s="210"/>
      <c r="J21" s="193"/>
      <c r="K21" s="267" t="s">
        <v>72</v>
      </c>
      <c r="L21" s="267"/>
      <c r="M21" s="211">
        <f>((VLOOKUP(C5,C23:I200,6)*D5*D5)/2+VLOOKUP(I5,P23:R34,3)*(D5-2.5)+D5*H5)/(E5+F5+IF(G5="Yes",G7,0)+(VLOOKUP(C5,C23:I200,6)*D5)+VLOOKUP(I5,P23:R34,3)+H5)</f>
        <v>12.439515182803774</v>
      </c>
      <c r="N21" s="267" t="s">
        <v>88</v>
      </c>
      <c r="O21" s="267"/>
      <c r="P21" s="212">
        <f>26/(VLOOKUP(C5,C23:H200,3)*(1+(D5-29-(IF(C5="Wood Shaft",-0.9,0))-(IF(G5="Yes",G6,0)))/29*2.8)*(1+((E5+F5+(IF(G5="Yes",G7,0))+(IF(G5="Yes",(G6*(VLOOKUP(C5,C23:H200,6))),0))-125-VLOOKUP(I5,P23:R34,3)+10-H5)/125*0.4)))</f>
        <v>53.711547242264068</v>
      </c>
      <c r="Q21" s="193"/>
      <c r="R21" s="193"/>
      <c r="S21" s="213" t="s">
        <v>109</v>
      </c>
      <c r="T21" s="214">
        <f>L5/15.432</f>
        <v>28.566257306805383</v>
      </c>
      <c r="U21" s="193"/>
    </row>
    <row r="22" spans="2:33" s="202" customFormat="1" ht="42" customHeight="1" x14ac:dyDescent="0.25">
      <c r="C22" s="215" t="s">
        <v>13</v>
      </c>
      <c r="D22" s="215" t="s">
        <v>10</v>
      </c>
      <c r="E22" s="215" t="s">
        <v>11</v>
      </c>
      <c r="F22" s="215" t="s">
        <v>12</v>
      </c>
      <c r="G22" s="215" t="s">
        <v>8</v>
      </c>
      <c r="H22" s="195" t="s">
        <v>9</v>
      </c>
      <c r="I22" s="195" t="s">
        <v>61</v>
      </c>
      <c r="J22" s="193"/>
      <c r="K22" s="194"/>
      <c r="L22" s="195" t="s">
        <v>213</v>
      </c>
      <c r="M22" s="211">
        <f>VLOOKUP(C13,C203:F307,4)</f>
        <v>-6.25E-2</v>
      </c>
      <c r="N22" s="267" t="s">
        <v>89</v>
      </c>
      <c r="O22" s="267"/>
      <c r="P22" s="212">
        <f>(VLOOKUP(C5,C23:I200,7)-11/32)*30</f>
        <v>-1.40625</v>
      </c>
      <c r="Q22" s="193"/>
      <c r="R22" s="193"/>
      <c r="S22" s="193"/>
      <c r="T22" s="193"/>
      <c r="U22" s="193"/>
    </row>
    <row r="23" spans="2:33" s="202" customFormat="1" ht="12.75" customHeight="1" x14ac:dyDescent="0.25">
      <c r="C23" s="201">
        <v>1416</v>
      </c>
      <c r="D23" s="216">
        <v>1.68</v>
      </c>
      <c r="E23" s="216">
        <f t="shared" ref="E23:E54" si="0">D23*0.825</f>
        <v>1.3859999999999999</v>
      </c>
      <c r="F23" s="204">
        <f t="shared" ref="F23:F54" si="1">26/E23</f>
        <v>18.759018759018762</v>
      </c>
      <c r="G23" s="201">
        <v>207</v>
      </c>
      <c r="H23" s="204">
        <f t="shared" ref="H23:H29" si="2">G23/29</f>
        <v>7.1379310344827589</v>
      </c>
      <c r="I23" s="217">
        <f>14/64</f>
        <v>0.21875</v>
      </c>
      <c r="J23" s="201"/>
      <c r="K23" s="201"/>
      <c r="L23" s="201"/>
      <c r="P23" s="196" t="s">
        <v>168</v>
      </c>
      <c r="Q23" s="218"/>
      <c r="R23" s="219">
        <f>1.6*2</f>
        <v>3.2</v>
      </c>
      <c r="S23" s="217">
        <v>-0.1875</v>
      </c>
      <c r="T23" s="220">
        <v>18</v>
      </c>
    </row>
    <row r="24" spans="2:33" s="202" customFormat="1" x14ac:dyDescent="0.25">
      <c r="C24" s="201">
        <v>1516</v>
      </c>
      <c r="D24" s="216">
        <v>1.4</v>
      </c>
      <c r="E24" s="216">
        <f t="shared" si="0"/>
        <v>1.1549999999999998</v>
      </c>
      <c r="F24" s="204">
        <f t="shared" si="1"/>
        <v>22.510822510822514</v>
      </c>
      <c r="G24" s="201">
        <v>211</v>
      </c>
      <c r="H24" s="204">
        <f t="shared" si="2"/>
        <v>7.2758620689655169</v>
      </c>
      <c r="I24" s="216">
        <f>15/64</f>
        <v>0.234375</v>
      </c>
      <c r="J24" s="201"/>
      <c r="K24" s="201"/>
      <c r="L24" s="201"/>
      <c r="O24" s="221"/>
      <c r="P24" s="196" t="s">
        <v>161</v>
      </c>
      <c r="Q24" s="218"/>
      <c r="R24" s="219">
        <f>2.3*2</f>
        <v>4.5999999999999996</v>
      </c>
      <c r="S24" s="217">
        <f>S23+(S25-S23)/2</f>
        <v>-0.17625000000000002</v>
      </c>
      <c r="T24" s="220">
        <v>17.5</v>
      </c>
    </row>
    <row r="25" spans="2:33" s="202" customFormat="1" x14ac:dyDescent="0.25">
      <c r="C25" s="201">
        <v>1616</v>
      </c>
      <c r="D25" s="216">
        <v>1.07</v>
      </c>
      <c r="E25" s="216">
        <f t="shared" si="0"/>
        <v>0.88275000000000003</v>
      </c>
      <c r="F25" s="204">
        <f t="shared" si="1"/>
        <v>29.453412630982722</v>
      </c>
      <c r="G25" s="201">
        <v>242</v>
      </c>
      <c r="H25" s="204">
        <f t="shared" si="2"/>
        <v>8.3448275862068968</v>
      </c>
      <c r="I25" s="216">
        <f>16/64</f>
        <v>0.25</v>
      </c>
      <c r="J25" s="201"/>
      <c r="K25" s="201"/>
      <c r="L25" s="201"/>
      <c r="O25" s="222"/>
      <c r="P25" s="196" t="s">
        <v>167</v>
      </c>
      <c r="Q25" s="218"/>
      <c r="R25" s="219">
        <f>3.2*2</f>
        <v>6.4</v>
      </c>
      <c r="S25" s="217">
        <v>-0.16500000000000001</v>
      </c>
      <c r="T25" s="220">
        <v>17</v>
      </c>
    </row>
    <row r="26" spans="2:33" s="202" customFormat="1" x14ac:dyDescent="0.25">
      <c r="C26" s="201">
        <v>1713</v>
      </c>
      <c r="D26" s="216">
        <v>1.03</v>
      </c>
      <c r="E26" s="216">
        <f t="shared" si="0"/>
        <v>0.84975000000000001</v>
      </c>
      <c r="F26" s="204">
        <f t="shared" si="1"/>
        <v>30.597234480729625</v>
      </c>
      <c r="G26" s="201">
        <v>216</v>
      </c>
      <c r="H26" s="204">
        <f t="shared" si="2"/>
        <v>7.4482758620689653</v>
      </c>
      <c r="I26" s="216">
        <f>17/64</f>
        <v>0.265625</v>
      </c>
      <c r="J26" s="201"/>
      <c r="K26" s="201"/>
      <c r="L26" s="201"/>
      <c r="O26" s="222"/>
      <c r="P26" s="196" t="s">
        <v>162</v>
      </c>
      <c r="Q26" s="218"/>
      <c r="R26" s="219">
        <f>1.6*3</f>
        <v>4.8000000000000007</v>
      </c>
      <c r="S26" s="217">
        <f>S25+(S27-S25)/2</f>
        <v>-0.155</v>
      </c>
      <c r="T26" s="220">
        <v>16.5</v>
      </c>
    </row>
    <row r="27" spans="2:33" s="202" customFormat="1" x14ac:dyDescent="0.25">
      <c r="C27" s="201">
        <v>1716</v>
      </c>
      <c r="D27" s="216">
        <v>0.88</v>
      </c>
      <c r="E27" s="216">
        <f t="shared" si="0"/>
        <v>0.72599999999999998</v>
      </c>
      <c r="F27" s="204">
        <f t="shared" si="1"/>
        <v>35.812672176308538</v>
      </c>
      <c r="G27" s="201">
        <v>262</v>
      </c>
      <c r="H27" s="204">
        <f t="shared" si="2"/>
        <v>9.0344827586206904</v>
      </c>
      <c r="I27" s="216">
        <f>17/64</f>
        <v>0.265625</v>
      </c>
      <c r="J27" s="201"/>
      <c r="K27" s="201"/>
      <c r="L27" s="201"/>
      <c r="O27" s="222"/>
      <c r="P27" s="196" t="s">
        <v>163</v>
      </c>
      <c r="Q27" s="218"/>
      <c r="R27" s="219">
        <f>2.3*3</f>
        <v>6.8999999999999995</v>
      </c>
      <c r="S27" s="217">
        <v>-0.14499999999999999</v>
      </c>
      <c r="T27" s="220">
        <v>16</v>
      </c>
    </row>
    <row r="28" spans="2:33" s="202" customFormat="1" x14ac:dyDescent="0.25">
      <c r="C28" s="201">
        <v>1813</v>
      </c>
      <c r="D28" s="216">
        <v>0.86</v>
      </c>
      <c r="E28" s="216">
        <f t="shared" si="0"/>
        <v>0.70949999999999991</v>
      </c>
      <c r="F28" s="204">
        <f t="shared" si="1"/>
        <v>36.645525017618048</v>
      </c>
      <c r="G28" s="201">
        <v>227</v>
      </c>
      <c r="H28" s="204">
        <f t="shared" si="2"/>
        <v>7.8275862068965516</v>
      </c>
      <c r="I28" s="216">
        <f>18/64</f>
        <v>0.28125</v>
      </c>
      <c r="J28" s="201"/>
      <c r="K28" s="201"/>
      <c r="L28" s="201"/>
      <c r="O28" s="222"/>
      <c r="P28" s="196" t="s">
        <v>164</v>
      </c>
      <c r="Q28" s="218"/>
      <c r="R28" s="219">
        <f>3.2*3</f>
        <v>9.6000000000000014</v>
      </c>
      <c r="S28" s="217">
        <f>S27+(S29-S27)/2</f>
        <v>-0.13500000000000001</v>
      </c>
      <c r="T28" s="220">
        <v>15.5</v>
      </c>
    </row>
    <row r="29" spans="2:33" s="202" customFormat="1" x14ac:dyDescent="0.25">
      <c r="C29" s="201">
        <v>1816</v>
      </c>
      <c r="D29" s="216">
        <v>0.75</v>
      </c>
      <c r="E29" s="216">
        <f t="shared" si="0"/>
        <v>0.61874999999999991</v>
      </c>
      <c r="F29" s="204">
        <f t="shared" si="1"/>
        <v>42.020202020202028</v>
      </c>
      <c r="G29" s="201">
        <v>268</v>
      </c>
      <c r="H29" s="204">
        <f t="shared" si="2"/>
        <v>9.2413793103448274</v>
      </c>
      <c r="I29" s="216">
        <f>18/64</f>
        <v>0.28125</v>
      </c>
      <c r="J29" s="201"/>
      <c r="K29" s="201"/>
      <c r="L29" s="201"/>
      <c r="O29" s="222"/>
      <c r="P29" s="196" t="s">
        <v>169</v>
      </c>
      <c r="Q29" s="218"/>
      <c r="R29" s="219">
        <f>1.6*4</f>
        <v>6.4</v>
      </c>
      <c r="S29" s="217">
        <v>-0.125</v>
      </c>
      <c r="T29" s="220">
        <v>15</v>
      </c>
    </row>
    <row r="30" spans="2:33" s="202" customFormat="1" x14ac:dyDescent="0.25">
      <c r="C30" s="201">
        <v>1820</v>
      </c>
      <c r="D30" s="216">
        <v>0.60899999999999999</v>
      </c>
      <c r="E30" s="216">
        <f t="shared" si="0"/>
        <v>0.50242500000000001</v>
      </c>
      <c r="F30" s="204">
        <f t="shared" si="1"/>
        <v>51.749017266258647</v>
      </c>
      <c r="G30" s="201">
        <f>29*H30</f>
        <v>353.79999999999995</v>
      </c>
      <c r="H30" s="204">
        <v>12.2</v>
      </c>
      <c r="I30" s="216">
        <f>9/32</f>
        <v>0.28125</v>
      </c>
      <c r="J30" s="201"/>
      <c r="K30" s="201"/>
      <c r="L30" s="201"/>
      <c r="O30" s="222"/>
      <c r="P30" s="196" t="s">
        <v>165</v>
      </c>
      <c r="Q30" s="218"/>
      <c r="R30" s="219">
        <f>2.3*4</f>
        <v>9.1999999999999993</v>
      </c>
      <c r="S30" s="217">
        <f>S29+(S31-S29)/2</f>
        <v>-0.1188</v>
      </c>
      <c r="T30" s="220">
        <v>14.5</v>
      </c>
    </row>
    <row r="31" spans="2:33" s="202" customFormat="1" x14ac:dyDescent="0.25">
      <c r="C31" s="201">
        <v>1913</v>
      </c>
      <c r="D31" s="216">
        <v>0.72499999999999998</v>
      </c>
      <c r="E31" s="216">
        <f t="shared" si="0"/>
        <v>0.59812499999999991</v>
      </c>
      <c r="F31" s="204">
        <f t="shared" si="1"/>
        <v>43.469174503657271</v>
      </c>
      <c r="G31" s="201">
        <v>241</v>
      </c>
      <c r="H31" s="204">
        <f>G31/29</f>
        <v>8.3103448275862064</v>
      </c>
      <c r="I31" s="216">
        <f>19/64</f>
        <v>0.296875</v>
      </c>
      <c r="J31" s="201"/>
      <c r="K31" s="201"/>
      <c r="L31" s="201"/>
      <c r="O31" s="223"/>
      <c r="P31" s="196" t="s">
        <v>166</v>
      </c>
      <c r="Q31" s="218"/>
      <c r="R31" s="219">
        <f>3.2*4</f>
        <v>12.8</v>
      </c>
      <c r="S31" s="217">
        <v>-0.11260000000000001</v>
      </c>
      <c r="T31" s="220">
        <v>14</v>
      </c>
    </row>
    <row r="32" spans="2:33" s="202" customFormat="1" x14ac:dyDescent="0.25">
      <c r="C32" s="201">
        <v>1914</v>
      </c>
      <c r="D32" s="216">
        <v>0.65700000000000003</v>
      </c>
      <c r="E32" s="216">
        <f t="shared" si="0"/>
        <v>0.54202499999999998</v>
      </c>
      <c r="F32" s="204">
        <f t="shared" si="1"/>
        <v>47.968267146349341</v>
      </c>
      <c r="G32" s="201">
        <v>268</v>
      </c>
      <c r="H32" s="204">
        <f>G32/29</f>
        <v>9.2413793103448274</v>
      </c>
      <c r="I32" s="216">
        <f>19/64</f>
        <v>0.296875</v>
      </c>
      <c r="J32" s="201"/>
      <c r="K32" s="201"/>
      <c r="L32" s="201"/>
      <c r="O32" s="222"/>
      <c r="P32" s="196" t="s">
        <v>153</v>
      </c>
      <c r="Q32" s="218"/>
      <c r="R32" s="219">
        <v>0</v>
      </c>
      <c r="S32" s="217">
        <f>S31+(S33-S31)/2</f>
        <v>-0.1067</v>
      </c>
      <c r="T32" s="220">
        <v>13.5</v>
      </c>
    </row>
    <row r="33" spans="3:28" s="202" customFormat="1" x14ac:dyDescent="0.25">
      <c r="C33" s="201">
        <v>1916</v>
      </c>
      <c r="D33" s="216">
        <v>0.62</v>
      </c>
      <c r="E33" s="216">
        <f t="shared" si="0"/>
        <v>0.51149999999999995</v>
      </c>
      <c r="F33" s="204">
        <f t="shared" si="1"/>
        <v>50.830889540566965</v>
      </c>
      <c r="G33" s="201">
        <v>291</v>
      </c>
      <c r="H33" s="204">
        <f>G33/29</f>
        <v>10.03448275862069</v>
      </c>
      <c r="I33" s="216">
        <f>19/64</f>
        <v>0.296875</v>
      </c>
      <c r="J33" s="201"/>
      <c r="K33" s="201"/>
      <c r="L33" s="201"/>
      <c r="O33" s="222"/>
      <c r="P33" s="196" t="s">
        <v>170</v>
      </c>
      <c r="Q33" s="218"/>
      <c r="R33" s="219">
        <v>32</v>
      </c>
      <c r="S33" s="217">
        <v>-0.1008</v>
      </c>
      <c r="T33" s="220">
        <v>13</v>
      </c>
    </row>
    <row r="34" spans="3:28" s="202" customFormat="1" x14ac:dyDescent="0.25">
      <c r="C34" s="201">
        <v>1918</v>
      </c>
      <c r="D34" s="216">
        <v>0.55000000000000004</v>
      </c>
      <c r="E34" s="216">
        <f t="shared" si="0"/>
        <v>0.45374999999999999</v>
      </c>
      <c r="F34" s="204">
        <f t="shared" si="1"/>
        <v>57.300275482093667</v>
      </c>
      <c r="G34" s="201">
        <f>29*H34</f>
        <v>348</v>
      </c>
      <c r="H34" s="204">
        <v>12</v>
      </c>
      <c r="I34" s="216">
        <v>0.29699999999999999</v>
      </c>
      <c r="J34" s="201"/>
      <c r="K34" s="201"/>
      <c r="L34" s="201"/>
      <c r="O34" s="222"/>
      <c r="P34" s="196" t="s">
        <v>14</v>
      </c>
      <c r="Q34" s="218"/>
      <c r="R34" s="224">
        <f>I6</f>
        <v>18.3</v>
      </c>
      <c r="S34" s="217">
        <f>S33+(S35-S33)/2</f>
        <v>-9.4500000000000001E-2</v>
      </c>
      <c r="T34" s="220">
        <v>12.5</v>
      </c>
    </row>
    <row r="35" spans="3:28" s="202" customFormat="1" x14ac:dyDescent="0.25">
      <c r="C35" s="201">
        <v>2013</v>
      </c>
      <c r="D35" s="216">
        <v>0.6</v>
      </c>
      <c r="E35" s="216">
        <f t="shared" si="0"/>
        <v>0.49499999999999994</v>
      </c>
      <c r="F35" s="204">
        <f t="shared" si="1"/>
        <v>52.525252525252533</v>
      </c>
      <c r="G35" s="201">
        <v>262</v>
      </c>
      <c r="H35" s="204">
        <f t="shared" ref="H35:H73" si="3">G35/29</f>
        <v>9.0344827586206904</v>
      </c>
      <c r="I35" s="216">
        <f>20/64</f>
        <v>0.3125</v>
      </c>
      <c r="J35" s="201"/>
      <c r="K35" s="201"/>
      <c r="L35" s="201"/>
      <c r="O35" s="223"/>
      <c r="P35" s="197">
        <v>-0.1875</v>
      </c>
      <c r="Q35" s="225"/>
      <c r="R35" s="219">
        <v>18</v>
      </c>
      <c r="S35" s="217">
        <v>-8.8200000000000001E-2</v>
      </c>
      <c r="T35" s="220">
        <v>12</v>
      </c>
      <c r="AB35" s="226"/>
    </row>
    <row r="36" spans="3:28" s="202" customFormat="1" x14ac:dyDescent="0.25">
      <c r="C36" s="201">
        <v>2016</v>
      </c>
      <c r="D36" s="216">
        <v>0.53</v>
      </c>
      <c r="E36" s="216">
        <f t="shared" si="0"/>
        <v>0.43724999999999997</v>
      </c>
      <c r="F36" s="204">
        <f t="shared" si="1"/>
        <v>59.462550028587771</v>
      </c>
      <c r="G36" s="201">
        <v>305</v>
      </c>
      <c r="H36" s="204">
        <f t="shared" si="3"/>
        <v>10.517241379310345</v>
      </c>
      <c r="I36" s="216">
        <f>20/64</f>
        <v>0.3125</v>
      </c>
      <c r="J36" s="201"/>
      <c r="K36" s="201"/>
      <c r="L36" s="201"/>
      <c r="O36" s="223"/>
      <c r="P36" s="197">
        <v>-0.125</v>
      </c>
      <c r="Q36" s="225"/>
      <c r="R36" s="224">
        <v>15</v>
      </c>
      <c r="S36" s="217">
        <f>S35+(S37-S35)/2</f>
        <v>-8.1900000000000001E-2</v>
      </c>
      <c r="T36" s="220">
        <v>11.5</v>
      </c>
    </row>
    <row r="37" spans="3:28" s="202" customFormat="1" x14ac:dyDescent="0.25">
      <c r="C37" s="201">
        <v>2018</v>
      </c>
      <c r="D37" s="216">
        <v>0.46500000000000002</v>
      </c>
      <c r="E37" s="216">
        <f t="shared" si="0"/>
        <v>0.38362499999999999</v>
      </c>
      <c r="F37" s="204">
        <f t="shared" si="1"/>
        <v>67.774519387422615</v>
      </c>
      <c r="G37" s="201">
        <v>357</v>
      </c>
      <c r="H37" s="204">
        <f t="shared" si="3"/>
        <v>12.310344827586206</v>
      </c>
      <c r="I37" s="216">
        <f>20/64</f>
        <v>0.3125</v>
      </c>
      <c r="J37" s="201"/>
      <c r="K37" s="201"/>
      <c r="L37" s="201"/>
      <c r="O37" s="223"/>
      <c r="P37" s="197">
        <v>-6.25E-2</v>
      </c>
      <c r="Q37" s="225"/>
      <c r="R37" s="224">
        <v>10</v>
      </c>
      <c r="S37" s="217">
        <v>-7.5600000000000001E-2</v>
      </c>
      <c r="T37" s="220">
        <v>11</v>
      </c>
    </row>
    <row r="38" spans="3:28" s="202" customFormat="1" x14ac:dyDescent="0.25">
      <c r="C38" s="201">
        <v>2020</v>
      </c>
      <c r="D38" s="216">
        <v>0.42599999999999999</v>
      </c>
      <c r="E38" s="216">
        <f t="shared" si="0"/>
        <v>0.35144999999999998</v>
      </c>
      <c r="F38" s="204">
        <f t="shared" si="1"/>
        <v>73.979228908806377</v>
      </c>
      <c r="G38" s="201">
        <v>392</v>
      </c>
      <c r="H38" s="204">
        <f t="shared" si="3"/>
        <v>13.517241379310345</v>
      </c>
      <c r="I38" s="216">
        <f>20/64</f>
        <v>0.3125</v>
      </c>
      <c r="J38" s="201"/>
      <c r="K38" s="201"/>
      <c r="L38" s="201"/>
      <c r="O38" s="223"/>
      <c r="P38" s="198">
        <v>0</v>
      </c>
      <c r="Q38" s="225"/>
      <c r="R38" s="224">
        <v>5</v>
      </c>
      <c r="S38" s="217">
        <f>S37+(S39-S37)/2</f>
        <v>-6.905E-2</v>
      </c>
      <c r="T38" s="220">
        <v>10.5</v>
      </c>
    </row>
    <row r="39" spans="3:28" s="202" customFormat="1" x14ac:dyDescent="0.25">
      <c r="C39" s="201">
        <v>2113</v>
      </c>
      <c r="D39" s="216">
        <v>0.53</v>
      </c>
      <c r="E39" s="216">
        <f t="shared" si="0"/>
        <v>0.43724999999999997</v>
      </c>
      <c r="F39" s="204">
        <f t="shared" si="1"/>
        <v>59.462550028587771</v>
      </c>
      <c r="G39" s="201">
        <v>270</v>
      </c>
      <c r="H39" s="204">
        <f t="shared" si="3"/>
        <v>9.3103448275862064</v>
      </c>
      <c r="I39" s="216">
        <f>21/64</f>
        <v>0.328125</v>
      </c>
      <c r="J39" s="201"/>
      <c r="K39" s="201"/>
      <c r="L39" s="201"/>
      <c r="O39" s="223"/>
      <c r="P39" s="197">
        <v>6.25E-2</v>
      </c>
      <c r="Q39" s="225"/>
      <c r="R39" s="224">
        <v>2</v>
      </c>
      <c r="S39" s="217">
        <v>-6.25E-2</v>
      </c>
      <c r="T39" s="220">
        <v>10</v>
      </c>
    </row>
    <row r="40" spans="3:28" s="202" customFormat="1" x14ac:dyDescent="0.25">
      <c r="C40" s="201">
        <v>2114</v>
      </c>
      <c r="D40" s="216">
        <v>0.5</v>
      </c>
      <c r="E40" s="216">
        <f t="shared" si="0"/>
        <v>0.41249999999999998</v>
      </c>
      <c r="F40" s="204">
        <f t="shared" si="1"/>
        <v>63.030303030303031</v>
      </c>
      <c r="G40" s="201">
        <v>285</v>
      </c>
      <c r="H40" s="204">
        <f t="shared" si="3"/>
        <v>9.8275862068965516</v>
      </c>
      <c r="I40" s="216">
        <f>21/64</f>
        <v>0.328125</v>
      </c>
      <c r="J40" s="201"/>
      <c r="K40" s="201"/>
      <c r="L40" s="201"/>
      <c r="O40" s="223"/>
      <c r="P40" s="197">
        <v>0.125</v>
      </c>
      <c r="Q40" s="225"/>
      <c r="R40" s="224">
        <v>-2</v>
      </c>
      <c r="S40" s="217">
        <f>S39+(S41-S39)/2</f>
        <v>-5.645E-2</v>
      </c>
      <c r="T40" s="220">
        <v>9.5</v>
      </c>
    </row>
    <row r="41" spans="3:28" s="202" customFormat="1" x14ac:dyDescent="0.25">
      <c r="C41" s="201">
        <v>2115</v>
      </c>
      <c r="D41" s="216">
        <v>0.46</v>
      </c>
      <c r="E41" s="216">
        <f t="shared" si="0"/>
        <v>0.3795</v>
      </c>
      <c r="F41" s="204">
        <f t="shared" si="1"/>
        <v>68.511198945981548</v>
      </c>
      <c r="G41" s="201">
        <v>313</v>
      </c>
      <c r="H41" s="204">
        <f t="shared" si="3"/>
        <v>10.793103448275861</v>
      </c>
      <c r="I41" s="216">
        <f>21/64</f>
        <v>0.328125</v>
      </c>
      <c r="J41" s="201"/>
      <c r="K41" s="201"/>
      <c r="L41" s="201"/>
      <c r="O41" s="223"/>
      <c r="P41" s="197">
        <v>0.1875</v>
      </c>
      <c r="Q41" s="225"/>
      <c r="R41" s="224">
        <v>-5</v>
      </c>
      <c r="S41" s="217">
        <v>-5.04E-2</v>
      </c>
      <c r="T41" s="220">
        <v>9</v>
      </c>
    </row>
    <row r="42" spans="3:28" s="202" customFormat="1" x14ac:dyDescent="0.25">
      <c r="C42" s="201">
        <v>2117</v>
      </c>
      <c r="D42" s="216">
        <v>0.40200000000000002</v>
      </c>
      <c r="E42" s="216">
        <f t="shared" si="0"/>
        <v>0.33165</v>
      </c>
      <c r="F42" s="204">
        <f t="shared" si="1"/>
        <v>78.395899291421685</v>
      </c>
      <c r="G42" s="201">
        <v>347</v>
      </c>
      <c r="H42" s="204">
        <f t="shared" si="3"/>
        <v>11.96551724137931</v>
      </c>
      <c r="I42" s="216">
        <f>21/64</f>
        <v>0.328125</v>
      </c>
      <c r="J42" s="201"/>
      <c r="K42" s="201"/>
      <c r="L42" s="201"/>
      <c r="O42" s="223"/>
      <c r="P42" s="197">
        <v>0.25</v>
      </c>
      <c r="Q42" s="225"/>
      <c r="R42" s="224">
        <v>-10</v>
      </c>
      <c r="S42" s="217">
        <f>S41+(S43-S41)/2</f>
        <v>-4.41E-2</v>
      </c>
      <c r="T42" s="220">
        <v>8.5</v>
      </c>
    </row>
    <row r="43" spans="3:28" s="202" customFormat="1" x14ac:dyDescent="0.25">
      <c r="C43" s="201">
        <v>2213</v>
      </c>
      <c r="D43" s="216">
        <v>0.46</v>
      </c>
      <c r="E43" s="216">
        <f t="shared" si="0"/>
        <v>0.3795</v>
      </c>
      <c r="F43" s="204">
        <f t="shared" si="1"/>
        <v>68.511198945981548</v>
      </c>
      <c r="G43" s="201">
        <v>284</v>
      </c>
      <c r="H43" s="204">
        <f t="shared" si="3"/>
        <v>9.7931034482758612</v>
      </c>
      <c r="I43" s="216">
        <f>22/64</f>
        <v>0.34375</v>
      </c>
      <c r="J43" s="201"/>
      <c r="K43" s="201"/>
      <c r="L43" s="201"/>
      <c r="O43" s="223"/>
      <c r="P43" s="199">
        <f>5/16</f>
        <v>0.3125</v>
      </c>
      <c r="Q43" s="227"/>
      <c r="R43" s="219">
        <v>-12</v>
      </c>
      <c r="S43" s="217">
        <v>-3.78E-2</v>
      </c>
      <c r="T43" s="220">
        <v>8</v>
      </c>
    </row>
    <row r="44" spans="3:28" s="202" customFormat="1" x14ac:dyDescent="0.25">
      <c r="C44" s="201">
        <v>2215</v>
      </c>
      <c r="D44" s="216">
        <v>0.41299999999999998</v>
      </c>
      <c r="E44" s="216">
        <f t="shared" si="0"/>
        <v>0.34072499999999994</v>
      </c>
      <c r="F44" s="204">
        <f t="shared" si="1"/>
        <v>76.30787291804242</v>
      </c>
      <c r="G44" s="201">
        <v>312</v>
      </c>
      <c r="H44" s="204">
        <f t="shared" si="3"/>
        <v>10.758620689655173</v>
      </c>
      <c r="I44" s="216">
        <f>22/64</f>
        <v>0.34375</v>
      </c>
      <c r="J44" s="201"/>
      <c r="K44" s="201"/>
      <c r="L44" s="201"/>
      <c r="O44" s="223"/>
      <c r="P44" s="199">
        <v>0.375</v>
      </c>
      <c r="Q44" s="227"/>
      <c r="R44" s="219">
        <v>-14</v>
      </c>
      <c r="S44" s="217">
        <f>S43+(S45-S43)/2</f>
        <v>-3.15E-2</v>
      </c>
      <c r="T44" s="220">
        <v>7.5</v>
      </c>
    </row>
    <row r="45" spans="3:28" s="202" customFormat="1" x14ac:dyDescent="0.25">
      <c r="C45" s="201">
        <v>2216</v>
      </c>
      <c r="D45" s="216">
        <v>0.374</v>
      </c>
      <c r="E45" s="216">
        <f t="shared" si="0"/>
        <v>0.30854999999999999</v>
      </c>
      <c r="F45" s="204">
        <f t="shared" si="1"/>
        <v>84.265111003078914</v>
      </c>
      <c r="G45" s="201">
        <v>348</v>
      </c>
      <c r="H45" s="204">
        <f t="shared" si="3"/>
        <v>12</v>
      </c>
      <c r="I45" s="216">
        <f>22/64</f>
        <v>0.34375</v>
      </c>
      <c r="J45" s="201"/>
      <c r="K45" s="201"/>
      <c r="L45" s="201"/>
      <c r="O45" s="223"/>
      <c r="P45" s="199">
        <f>7/16</f>
        <v>0.4375</v>
      </c>
      <c r="Q45" s="227"/>
      <c r="R45" s="219">
        <v>-16</v>
      </c>
      <c r="S45" s="217">
        <v>-2.52E-2</v>
      </c>
      <c r="T45" s="220">
        <v>7</v>
      </c>
    </row>
    <row r="46" spans="3:28" s="202" customFormat="1" x14ac:dyDescent="0.25">
      <c r="C46" s="201">
        <v>2219</v>
      </c>
      <c r="D46" s="216">
        <v>0.33600000000000002</v>
      </c>
      <c r="E46" s="216">
        <f t="shared" si="0"/>
        <v>0.2772</v>
      </c>
      <c r="F46" s="204">
        <f t="shared" si="1"/>
        <v>93.795093795093791</v>
      </c>
      <c r="G46" s="201">
        <v>398</v>
      </c>
      <c r="H46" s="204">
        <f t="shared" si="3"/>
        <v>13.724137931034482</v>
      </c>
      <c r="I46" s="216">
        <f>22/64</f>
        <v>0.34375</v>
      </c>
      <c r="J46" s="201"/>
      <c r="K46" s="201"/>
      <c r="L46" s="201"/>
      <c r="O46" s="223"/>
      <c r="P46" s="199">
        <v>0.5</v>
      </c>
      <c r="Q46" s="227"/>
      <c r="R46" s="219">
        <v>-18</v>
      </c>
      <c r="S46" s="217">
        <f>S45+(S47-S45)/2</f>
        <v>-1.89E-2</v>
      </c>
      <c r="T46" s="220">
        <v>6.5</v>
      </c>
    </row>
    <row r="47" spans="3:28" s="202" customFormat="1" ht="12" customHeight="1" x14ac:dyDescent="0.25">
      <c r="C47" s="201">
        <v>2312</v>
      </c>
      <c r="D47" s="216">
        <v>0.42499999999999999</v>
      </c>
      <c r="E47" s="216">
        <f t="shared" si="0"/>
        <v>0.35062499999999996</v>
      </c>
      <c r="F47" s="204">
        <f t="shared" si="1"/>
        <v>74.15329768270945</v>
      </c>
      <c r="G47" s="201">
        <v>277</v>
      </c>
      <c r="H47" s="204">
        <f t="shared" si="3"/>
        <v>9.5517241379310338</v>
      </c>
      <c r="I47" s="216">
        <f>23/64</f>
        <v>0.359375</v>
      </c>
      <c r="J47" s="201"/>
      <c r="K47" s="201"/>
      <c r="L47" s="201"/>
      <c r="O47" s="223"/>
      <c r="P47" s="199">
        <f>9/16</f>
        <v>0.5625</v>
      </c>
      <c r="Q47" s="227"/>
      <c r="R47" s="219">
        <v>-20</v>
      </c>
      <c r="S47" s="217">
        <v>-1.26E-2</v>
      </c>
      <c r="T47" s="220">
        <v>6</v>
      </c>
    </row>
    <row r="48" spans="3:28" s="202" customFormat="1" ht="12" customHeight="1" x14ac:dyDescent="0.25">
      <c r="C48" s="201">
        <v>2314</v>
      </c>
      <c r="D48" s="216">
        <v>0.38700000000000001</v>
      </c>
      <c r="E48" s="216">
        <f t="shared" si="0"/>
        <v>0.31927499999999998</v>
      </c>
      <c r="F48" s="204">
        <f t="shared" si="1"/>
        <v>81.434500039151203</v>
      </c>
      <c r="G48" s="201">
        <v>307</v>
      </c>
      <c r="H48" s="204">
        <f t="shared" si="3"/>
        <v>10.586206896551724</v>
      </c>
      <c r="I48" s="216">
        <f>23/64</f>
        <v>0.359375</v>
      </c>
      <c r="J48" s="201"/>
      <c r="K48" s="201"/>
      <c r="L48" s="201"/>
      <c r="O48" s="223"/>
      <c r="P48" s="199">
        <v>0.625</v>
      </c>
      <c r="Q48" s="227"/>
      <c r="R48" s="219">
        <v>-21</v>
      </c>
      <c r="S48" s="217">
        <f>S47+(S49-S47)/2</f>
        <v>-6.3E-3</v>
      </c>
      <c r="T48" s="220">
        <v>5.5</v>
      </c>
    </row>
    <row r="49" spans="3:36" s="202" customFormat="1" ht="12" customHeight="1" x14ac:dyDescent="0.25">
      <c r="C49" s="201">
        <v>2315</v>
      </c>
      <c r="D49" s="216">
        <v>0.33800000000000002</v>
      </c>
      <c r="E49" s="216">
        <f t="shared" si="0"/>
        <v>0.27884999999999999</v>
      </c>
      <c r="F49" s="204">
        <f t="shared" si="1"/>
        <v>93.240093240093245</v>
      </c>
      <c r="G49" s="201">
        <v>338</v>
      </c>
      <c r="H49" s="204">
        <f t="shared" si="3"/>
        <v>11.655172413793103</v>
      </c>
      <c r="I49" s="216">
        <f>23/64</f>
        <v>0.359375</v>
      </c>
      <c r="J49" s="201"/>
      <c r="K49" s="201"/>
      <c r="L49" s="201"/>
      <c r="O49" s="223"/>
      <c r="P49" s="199">
        <v>0.75</v>
      </c>
      <c r="Q49" s="227"/>
      <c r="R49" s="219">
        <v>-24</v>
      </c>
      <c r="S49" s="217">
        <v>0</v>
      </c>
      <c r="T49" s="220">
        <v>5</v>
      </c>
    </row>
    <row r="50" spans="3:36" s="202" customFormat="1" ht="12.75" customHeight="1" x14ac:dyDescent="0.25">
      <c r="C50" s="201">
        <v>2317</v>
      </c>
      <c r="D50" s="216">
        <v>0.29499999999999998</v>
      </c>
      <c r="E50" s="216">
        <f t="shared" si="0"/>
        <v>0.24337499999999998</v>
      </c>
      <c r="F50" s="204">
        <f t="shared" si="1"/>
        <v>106.83102208525938</v>
      </c>
      <c r="G50" s="201">
        <v>385</v>
      </c>
      <c r="H50" s="204">
        <f t="shared" si="3"/>
        <v>13.275862068965518</v>
      </c>
      <c r="I50" s="216">
        <f>23/64</f>
        <v>0.359375</v>
      </c>
      <c r="J50" s="201"/>
      <c r="K50" s="201"/>
      <c r="L50" s="201"/>
      <c r="O50" s="223"/>
      <c r="P50" s="199">
        <f>7/8</f>
        <v>0.875</v>
      </c>
      <c r="Q50" s="227"/>
      <c r="R50" s="219">
        <v>-27</v>
      </c>
      <c r="S50" s="217">
        <f>S49+(S51-S49)/2</f>
        <v>1.0500000000000001E-2</v>
      </c>
      <c r="T50" s="220">
        <v>4.5</v>
      </c>
    </row>
    <row r="51" spans="3:36" s="202" customFormat="1" ht="13.5" customHeight="1" x14ac:dyDescent="0.25">
      <c r="C51" s="201">
        <v>2413</v>
      </c>
      <c r="D51" s="216">
        <v>0.36199999999999999</v>
      </c>
      <c r="E51" s="216">
        <f t="shared" si="0"/>
        <v>0.29864999999999997</v>
      </c>
      <c r="F51" s="204">
        <f t="shared" si="1"/>
        <v>87.058429599866074</v>
      </c>
      <c r="G51" s="201">
        <v>302</v>
      </c>
      <c r="H51" s="204">
        <f t="shared" si="3"/>
        <v>10.413793103448276</v>
      </c>
      <c r="I51" s="216">
        <f>24/64</f>
        <v>0.375</v>
      </c>
      <c r="J51" s="201"/>
      <c r="K51" s="201"/>
      <c r="L51" s="201"/>
      <c r="O51" s="223"/>
      <c r="P51" s="196" t="s">
        <v>6</v>
      </c>
      <c r="Q51" s="218"/>
      <c r="R51" s="228">
        <v>1</v>
      </c>
      <c r="S51" s="217">
        <v>2.1000000000000001E-2</v>
      </c>
      <c r="T51" s="220">
        <v>4</v>
      </c>
    </row>
    <row r="52" spans="3:36" s="202" customFormat="1" ht="12.75" customHeight="1" x14ac:dyDescent="0.25">
      <c r="C52" s="201">
        <v>2419</v>
      </c>
      <c r="D52" s="216">
        <v>0.26400000000000001</v>
      </c>
      <c r="E52" s="216">
        <f t="shared" si="0"/>
        <v>0.21779999999999999</v>
      </c>
      <c r="F52" s="204">
        <f t="shared" si="1"/>
        <v>119.37557392102848</v>
      </c>
      <c r="G52" s="201">
        <v>422</v>
      </c>
      <c r="H52" s="204">
        <f t="shared" si="3"/>
        <v>14.551724137931034</v>
      </c>
      <c r="I52" s="216">
        <f>24/64</f>
        <v>0.375</v>
      </c>
      <c r="J52" s="201"/>
      <c r="K52" s="201"/>
      <c r="L52" s="201"/>
      <c r="O52" s="223"/>
      <c r="P52" s="196" t="s">
        <v>126</v>
      </c>
      <c r="R52" s="219">
        <v>1.1499999999999999</v>
      </c>
      <c r="S52" s="217">
        <f>S51+(S53-S51)/2</f>
        <v>3.15E-2</v>
      </c>
      <c r="T52" s="220">
        <v>3.5</v>
      </c>
    </row>
    <row r="53" spans="3:36" s="202" customFormat="1" ht="13.5" customHeight="1" x14ac:dyDescent="0.25">
      <c r="C53" s="201">
        <v>2514</v>
      </c>
      <c r="D53" s="216">
        <v>0.30199999999999999</v>
      </c>
      <c r="E53" s="216">
        <f t="shared" si="0"/>
        <v>0.24914999999999998</v>
      </c>
      <c r="F53" s="204">
        <f t="shared" si="1"/>
        <v>104.35480634156131</v>
      </c>
      <c r="G53" s="201">
        <v>328</v>
      </c>
      <c r="H53" s="204">
        <f t="shared" si="3"/>
        <v>11.310344827586206</v>
      </c>
      <c r="I53" s="216">
        <f>25/64</f>
        <v>0.390625</v>
      </c>
      <c r="J53" s="201"/>
      <c r="K53" s="201"/>
      <c r="L53" s="201"/>
      <c r="O53" s="223"/>
      <c r="P53" s="196" t="s">
        <v>127</v>
      </c>
      <c r="R53" s="219">
        <v>1.125</v>
      </c>
      <c r="S53" s="217">
        <v>4.2000000000000003E-2</v>
      </c>
      <c r="T53" s="220">
        <v>3</v>
      </c>
    </row>
    <row r="54" spans="3:36" s="202" customFormat="1" ht="12.75" customHeight="1" x14ac:dyDescent="0.25">
      <c r="C54" s="201">
        <v>2613</v>
      </c>
      <c r="D54" s="216">
        <v>0.28799999999999998</v>
      </c>
      <c r="E54" s="216">
        <f t="shared" si="0"/>
        <v>0.23759999999999998</v>
      </c>
      <c r="F54" s="204">
        <f t="shared" si="1"/>
        <v>109.42760942760944</v>
      </c>
      <c r="G54" s="201">
        <v>340</v>
      </c>
      <c r="H54" s="204">
        <f t="shared" si="3"/>
        <v>11.724137931034482</v>
      </c>
      <c r="I54" s="216">
        <f>26/64</f>
        <v>0.40625</v>
      </c>
      <c r="J54" s="201"/>
      <c r="K54" s="201"/>
      <c r="L54" s="201"/>
      <c r="O54" s="223"/>
      <c r="P54" s="196" t="s">
        <v>122</v>
      </c>
      <c r="R54" s="219">
        <v>1.1000000000000001</v>
      </c>
      <c r="S54" s="217">
        <f>S53+(S55-S53)/2</f>
        <v>5.2250000000000005E-2</v>
      </c>
      <c r="T54" s="220">
        <v>2.5</v>
      </c>
    </row>
    <row r="55" spans="3:36" s="202" customFormat="1" ht="12" customHeight="1" x14ac:dyDescent="0.25">
      <c r="C55" s="201" t="s">
        <v>42</v>
      </c>
      <c r="D55" s="216">
        <v>1.56</v>
      </c>
      <c r="E55" s="216">
        <f t="shared" ref="E55:E86" si="4">D55*0.825</f>
        <v>1.2869999999999999</v>
      </c>
      <c r="F55" s="204">
        <f t="shared" ref="F55:F86" si="5">26/E55</f>
        <v>20.202020202020204</v>
      </c>
      <c r="G55" s="201">
        <v>170</v>
      </c>
      <c r="H55" s="204">
        <f t="shared" si="3"/>
        <v>5.8620689655172411</v>
      </c>
      <c r="I55" s="216">
        <f>15/64</f>
        <v>0.234375</v>
      </c>
      <c r="J55" s="201"/>
      <c r="K55" s="201"/>
      <c r="L55" s="201"/>
      <c r="O55" s="223"/>
      <c r="P55" s="196" t="s">
        <v>121</v>
      </c>
      <c r="R55" s="219">
        <v>1.075</v>
      </c>
      <c r="S55" s="217">
        <v>6.25E-2</v>
      </c>
      <c r="T55" s="220">
        <v>2</v>
      </c>
    </row>
    <row r="56" spans="3:36" s="202" customFormat="1" ht="12.75" customHeight="1" x14ac:dyDescent="0.25">
      <c r="C56" s="201" t="s">
        <v>44</v>
      </c>
      <c r="D56" s="216">
        <v>1.4</v>
      </c>
      <c r="E56" s="216">
        <f t="shared" si="4"/>
        <v>1.1549999999999998</v>
      </c>
      <c r="F56" s="204">
        <f t="shared" si="5"/>
        <v>22.510822510822514</v>
      </c>
      <c r="G56" s="201">
        <v>198</v>
      </c>
      <c r="H56" s="204">
        <f t="shared" si="3"/>
        <v>6.8275862068965516</v>
      </c>
      <c r="I56" s="216">
        <f>15/64</f>
        <v>0.234375</v>
      </c>
      <c r="J56" s="201"/>
      <c r="K56" s="201"/>
      <c r="L56" s="201"/>
      <c r="O56" s="223"/>
      <c r="P56" s="196" t="s">
        <v>120</v>
      </c>
      <c r="Q56" s="218"/>
      <c r="R56" s="228">
        <v>1.05</v>
      </c>
      <c r="S56" s="217">
        <f>S55+(S57-S55)/2</f>
        <v>7.0624999999999993E-2</v>
      </c>
      <c r="T56" s="220">
        <v>1.5</v>
      </c>
      <c r="AB56" s="229"/>
      <c r="AC56" s="229"/>
      <c r="AD56" s="229"/>
      <c r="AE56" s="229"/>
      <c r="AF56" s="229"/>
      <c r="AG56" s="229"/>
      <c r="AH56" s="229"/>
      <c r="AI56" s="229"/>
      <c r="AJ56" s="229"/>
    </row>
    <row r="57" spans="3:36" s="202" customFormat="1" ht="12" customHeight="1" x14ac:dyDescent="0.25">
      <c r="C57" s="201" t="s">
        <v>43</v>
      </c>
      <c r="D57" s="216">
        <v>1.2849999999999999</v>
      </c>
      <c r="E57" s="216">
        <f t="shared" si="4"/>
        <v>1.060125</v>
      </c>
      <c r="F57" s="204">
        <f t="shared" si="5"/>
        <v>24.525409739417523</v>
      </c>
      <c r="G57" s="201">
        <v>182</v>
      </c>
      <c r="H57" s="204">
        <f t="shared" si="3"/>
        <v>6.2758620689655169</v>
      </c>
      <c r="I57" s="216">
        <f>16/64</f>
        <v>0.25</v>
      </c>
      <c r="J57" s="201"/>
      <c r="K57" s="201"/>
      <c r="L57" s="201"/>
      <c r="O57" s="223"/>
      <c r="P57" s="196" t="s">
        <v>123</v>
      </c>
      <c r="Q57" s="218"/>
      <c r="R57" s="228">
        <v>1.0249999999999999</v>
      </c>
      <c r="S57" s="217">
        <v>7.8750000000000001E-2</v>
      </c>
      <c r="T57" s="220">
        <v>1</v>
      </c>
      <c r="AB57" s="230"/>
      <c r="AC57" s="230"/>
      <c r="AD57" s="230"/>
      <c r="AE57" s="230"/>
      <c r="AF57" s="230"/>
      <c r="AG57" s="230"/>
      <c r="AH57" s="230"/>
      <c r="AI57" s="230"/>
      <c r="AJ57" s="230"/>
    </row>
    <row r="58" spans="3:36" s="202" customFormat="1" ht="12.75" customHeight="1" x14ac:dyDescent="0.25">
      <c r="C58" s="201" t="s">
        <v>45</v>
      </c>
      <c r="D58" s="216">
        <v>1.1499999999999999</v>
      </c>
      <c r="E58" s="216">
        <f t="shared" si="4"/>
        <v>0.94874999999999987</v>
      </c>
      <c r="F58" s="204">
        <f t="shared" si="5"/>
        <v>27.404479578392625</v>
      </c>
      <c r="G58" s="201">
        <v>224</v>
      </c>
      <c r="H58" s="204">
        <f t="shared" si="3"/>
        <v>7.7241379310344831</v>
      </c>
      <c r="I58" s="216">
        <f>16/64</f>
        <v>0.25</v>
      </c>
      <c r="J58" s="201"/>
      <c r="K58" s="201"/>
      <c r="L58" s="201"/>
      <c r="O58" s="223"/>
      <c r="P58" s="200" t="s">
        <v>71</v>
      </c>
      <c r="Q58" s="218"/>
      <c r="R58" s="231">
        <v>1</v>
      </c>
      <c r="S58" s="217">
        <f>S57+(S59-S57)/2</f>
        <v>8.6625000000000008E-2</v>
      </c>
      <c r="T58" s="220">
        <v>0.5</v>
      </c>
      <c r="AB58" s="230"/>
      <c r="AC58" s="230"/>
      <c r="AD58" s="230"/>
      <c r="AE58" s="230"/>
      <c r="AF58" s="230"/>
      <c r="AG58" s="230"/>
      <c r="AH58" s="230"/>
      <c r="AI58" s="230"/>
      <c r="AJ58" s="230"/>
    </row>
    <row r="59" spans="3:36" s="202" customFormat="1" ht="12.75" customHeight="1" x14ac:dyDescent="0.25">
      <c r="C59" s="201" t="s">
        <v>46</v>
      </c>
      <c r="D59" s="216">
        <v>1.095</v>
      </c>
      <c r="E59" s="216">
        <f t="shared" si="4"/>
        <v>0.90337499999999993</v>
      </c>
      <c r="F59" s="204">
        <f t="shared" si="5"/>
        <v>28.780960287809606</v>
      </c>
      <c r="G59" s="201">
        <v>194</v>
      </c>
      <c r="H59" s="204">
        <f t="shared" si="3"/>
        <v>6.6896551724137927</v>
      </c>
      <c r="I59" s="216">
        <f>17/64</f>
        <v>0.265625</v>
      </c>
      <c r="J59" s="201"/>
      <c r="K59" s="201"/>
      <c r="L59" s="201"/>
      <c r="O59" s="223"/>
      <c r="P59" s="196" t="s">
        <v>91</v>
      </c>
      <c r="R59" s="231">
        <v>1.07</v>
      </c>
      <c r="S59" s="217">
        <v>9.4500000000000001E-2</v>
      </c>
      <c r="T59" s="220">
        <v>0</v>
      </c>
      <c r="AA59" s="230"/>
      <c r="AB59" s="230"/>
      <c r="AC59" s="230"/>
      <c r="AD59" s="230"/>
      <c r="AE59" s="230"/>
      <c r="AF59" s="230"/>
      <c r="AG59" s="230"/>
      <c r="AH59" s="230"/>
      <c r="AI59" s="230"/>
    </row>
    <row r="60" spans="3:36" s="202" customFormat="1" ht="12.75" customHeight="1" x14ac:dyDescent="0.25">
      <c r="C60" s="201" t="s">
        <v>47</v>
      </c>
      <c r="D60" s="216">
        <v>0.97</v>
      </c>
      <c r="E60" s="216">
        <f t="shared" si="4"/>
        <v>0.80024999999999991</v>
      </c>
      <c r="F60" s="204">
        <f t="shared" si="5"/>
        <v>32.48984692283662</v>
      </c>
      <c r="G60" s="201">
        <v>235</v>
      </c>
      <c r="H60" s="204">
        <f t="shared" si="3"/>
        <v>8.1034482758620694</v>
      </c>
      <c r="I60" s="216">
        <f>17/64</f>
        <v>0.265625</v>
      </c>
      <c r="J60" s="201"/>
      <c r="K60" s="201"/>
      <c r="L60" s="201"/>
      <c r="O60" s="223"/>
      <c r="P60" s="196" t="s">
        <v>41</v>
      </c>
      <c r="Q60" s="218"/>
      <c r="R60" s="231">
        <v>1.04</v>
      </c>
      <c r="S60" s="217">
        <f>S59+(S61-S59)/2</f>
        <v>0.10250000000000001</v>
      </c>
      <c r="T60" s="220">
        <v>-0.5</v>
      </c>
      <c r="AA60" s="230"/>
      <c r="AB60" s="230"/>
      <c r="AC60" s="230"/>
      <c r="AD60" s="230"/>
      <c r="AE60" s="230"/>
      <c r="AF60" s="230"/>
      <c r="AG60" s="230"/>
      <c r="AH60" s="230"/>
      <c r="AI60" s="230"/>
    </row>
    <row r="61" spans="3:36" s="202" customFormat="1" ht="12" customHeight="1" x14ac:dyDescent="0.25">
      <c r="C61" s="201" t="s">
        <v>48</v>
      </c>
      <c r="D61" s="216">
        <v>0.88</v>
      </c>
      <c r="E61" s="216">
        <f t="shared" si="4"/>
        <v>0.72599999999999998</v>
      </c>
      <c r="F61" s="204">
        <f t="shared" si="5"/>
        <v>35.812672176308538</v>
      </c>
      <c r="G61" s="201">
        <v>212</v>
      </c>
      <c r="H61" s="204">
        <f t="shared" si="3"/>
        <v>7.3103448275862073</v>
      </c>
      <c r="I61" s="216">
        <f>18/64</f>
        <v>0.28125</v>
      </c>
      <c r="J61" s="201"/>
      <c r="K61" s="201"/>
      <c r="L61" s="201"/>
      <c r="O61" s="223"/>
      <c r="P61" s="200" t="s">
        <v>70</v>
      </c>
      <c r="Q61" s="218"/>
      <c r="R61" s="231">
        <v>0.97</v>
      </c>
      <c r="S61" s="217">
        <v>0.1105</v>
      </c>
      <c r="T61" s="220">
        <v>-1</v>
      </c>
      <c r="AA61" s="230"/>
      <c r="AB61" s="230"/>
      <c r="AC61" s="230"/>
      <c r="AD61" s="230"/>
      <c r="AE61" s="230"/>
      <c r="AF61" s="230"/>
      <c r="AG61" s="230"/>
      <c r="AH61" s="230"/>
      <c r="AI61" s="230"/>
    </row>
    <row r="62" spans="3:36" s="202" customFormat="1" ht="12.75" customHeight="1" x14ac:dyDescent="0.25">
      <c r="C62" s="201" t="s">
        <v>49</v>
      </c>
      <c r="D62" s="216">
        <v>0.8</v>
      </c>
      <c r="E62" s="216">
        <f t="shared" si="4"/>
        <v>0.66</v>
      </c>
      <c r="F62" s="204">
        <f t="shared" si="5"/>
        <v>39.393939393939391</v>
      </c>
      <c r="G62" s="201">
        <v>248</v>
      </c>
      <c r="H62" s="204">
        <f t="shared" si="3"/>
        <v>8.5517241379310338</v>
      </c>
      <c r="I62" s="216">
        <f>18/64</f>
        <v>0.28125</v>
      </c>
      <c r="J62" s="201"/>
      <c r="K62" s="201"/>
      <c r="L62" s="201"/>
      <c r="O62" s="223"/>
      <c r="P62" s="201" t="s">
        <v>100</v>
      </c>
      <c r="S62" s="217">
        <f>S61+(S63-S61)/2</f>
        <v>0.11774999999999999</v>
      </c>
      <c r="T62" s="220">
        <v>-1.5</v>
      </c>
      <c r="AA62" s="230"/>
      <c r="AB62" s="230"/>
      <c r="AC62" s="230"/>
      <c r="AD62" s="230"/>
      <c r="AE62" s="230"/>
      <c r="AF62" s="230"/>
      <c r="AG62" s="230"/>
      <c r="AH62" s="230"/>
      <c r="AI62" s="230"/>
    </row>
    <row r="63" spans="3:36" s="202" customFormat="1" ht="12.75" customHeight="1" x14ac:dyDescent="0.25">
      <c r="C63" s="201" t="s">
        <v>50</v>
      </c>
      <c r="D63" s="216">
        <v>0.78</v>
      </c>
      <c r="E63" s="216">
        <f t="shared" si="4"/>
        <v>0.64349999999999996</v>
      </c>
      <c r="F63" s="204">
        <f t="shared" si="5"/>
        <v>40.404040404040408</v>
      </c>
      <c r="G63" s="201">
        <v>220</v>
      </c>
      <c r="H63" s="204">
        <f t="shared" si="3"/>
        <v>7.5862068965517242</v>
      </c>
      <c r="I63" s="216">
        <f>19/64</f>
        <v>0.296875</v>
      </c>
      <c r="J63" s="201"/>
      <c r="K63" s="201"/>
      <c r="L63" s="201"/>
      <c r="O63" s="223"/>
      <c r="P63" s="201" t="s">
        <v>101</v>
      </c>
      <c r="S63" s="217">
        <v>0.125</v>
      </c>
      <c r="T63" s="220">
        <v>-2</v>
      </c>
      <c r="AA63" s="230"/>
      <c r="AB63" s="230"/>
      <c r="AC63" s="230"/>
      <c r="AD63" s="230"/>
      <c r="AE63" s="230"/>
      <c r="AF63" s="230"/>
      <c r="AG63" s="230"/>
      <c r="AH63" s="230"/>
      <c r="AI63" s="230"/>
    </row>
    <row r="64" spans="3:36" s="202" customFormat="1" ht="12.75" customHeight="1" x14ac:dyDescent="0.25">
      <c r="C64" s="201" t="s">
        <v>52</v>
      </c>
      <c r="D64" s="216">
        <v>0.66</v>
      </c>
      <c r="E64" s="216">
        <f t="shared" si="4"/>
        <v>0.54449999999999998</v>
      </c>
      <c r="F64" s="204">
        <f t="shared" si="5"/>
        <v>47.750229568411385</v>
      </c>
      <c r="G64" s="201">
        <v>269</v>
      </c>
      <c r="H64" s="204">
        <f t="shared" si="3"/>
        <v>9.2758620689655178</v>
      </c>
      <c r="I64" s="216">
        <f>19/64</f>
        <v>0.296875</v>
      </c>
      <c r="J64" s="201"/>
      <c r="K64" s="201"/>
      <c r="L64" s="201"/>
      <c r="M64" s="201"/>
      <c r="S64" s="217">
        <f>S63+(S65-S63)/2</f>
        <v>0.13550000000000001</v>
      </c>
      <c r="T64" s="220">
        <v>-2.5</v>
      </c>
      <c r="AA64" s="230"/>
      <c r="AB64" s="230"/>
      <c r="AC64" s="230"/>
      <c r="AD64" s="230"/>
      <c r="AE64" s="230"/>
      <c r="AF64" s="230"/>
      <c r="AG64" s="230"/>
      <c r="AH64" s="230"/>
      <c r="AI64" s="230"/>
    </row>
    <row r="65" spans="3:37" s="202" customFormat="1" ht="12.75" customHeight="1" x14ac:dyDescent="0.25">
      <c r="C65" s="201" t="s">
        <v>51</v>
      </c>
      <c r="D65" s="216">
        <v>0.68500000000000005</v>
      </c>
      <c r="E65" s="216">
        <f t="shared" si="4"/>
        <v>0.56512499999999999</v>
      </c>
      <c r="F65" s="204">
        <f t="shared" si="5"/>
        <v>46.007520460075206</v>
      </c>
      <c r="G65" s="201">
        <v>233</v>
      </c>
      <c r="H65" s="204">
        <f t="shared" si="3"/>
        <v>8.0344827586206904</v>
      </c>
      <c r="I65" s="216">
        <f>20/64</f>
        <v>0.3125</v>
      </c>
      <c r="J65" s="201"/>
      <c r="K65" s="201"/>
      <c r="L65" s="201"/>
      <c r="M65" s="201"/>
      <c r="S65" s="217">
        <v>0.14599999999999999</v>
      </c>
      <c r="T65" s="220">
        <v>-3</v>
      </c>
      <c r="AA65" s="230"/>
      <c r="AB65" s="230"/>
      <c r="AC65" s="230"/>
      <c r="AD65" s="230"/>
      <c r="AE65" s="230"/>
      <c r="AF65" s="230"/>
      <c r="AG65" s="230"/>
      <c r="AH65" s="230"/>
      <c r="AI65" s="230"/>
    </row>
    <row r="66" spans="3:37" s="202" customFormat="1" ht="12.75" customHeight="1" x14ac:dyDescent="0.25">
      <c r="C66" s="201" t="s">
        <v>54</v>
      </c>
      <c r="D66" s="216">
        <v>0.57999999999999996</v>
      </c>
      <c r="E66" s="216">
        <f t="shared" si="4"/>
        <v>0.47849999999999993</v>
      </c>
      <c r="F66" s="204">
        <f t="shared" si="5"/>
        <v>54.336468129571585</v>
      </c>
      <c r="G66" s="201">
        <v>278</v>
      </c>
      <c r="H66" s="204">
        <f t="shared" si="3"/>
        <v>9.5862068965517242</v>
      </c>
      <c r="I66" s="216">
        <f>20/64</f>
        <v>0.3125</v>
      </c>
      <c r="J66" s="201"/>
      <c r="K66" s="201"/>
      <c r="L66" s="201"/>
      <c r="M66" s="201"/>
      <c r="S66" s="217">
        <f>S65+(S67-S65)/2</f>
        <v>0.1565</v>
      </c>
      <c r="T66" s="220">
        <v>-3.5</v>
      </c>
      <c r="AA66" s="230"/>
      <c r="AB66" s="230"/>
      <c r="AC66" s="230"/>
      <c r="AD66" s="230"/>
      <c r="AE66" s="230"/>
      <c r="AF66" s="230"/>
      <c r="AG66" s="230"/>
      <c r="AH66" s="230"/>
      <c r="AI66" s="230"/>
    </row>
    <row r="67" spans="3:37" s="202" customFormat="1" ht="12.75" customHeight="1" x14ac:dyDescent="0.25">
      <c r="C67" s="201" t="s">
        <v>53</v>
      </c>
      <c r="D67" s="216">
        <v>0.59</v>
      </c>
      <c r="E67" s="216">
        <f t="shared" si="4"/>
        <v>0.48674999999999996</v>
      </c>
      <c r="F67" s="204">
        <f t="shared" si="5"/>
        <v>53.415511042629689</v>
      </c>
      <c r="G67" s="201">
        <v>244</v>
      </c>
      <c r="H67" s="204">
        <f t="shared" si="3"/>
        <v>8.4137931034482758</v>
      </c>
      <c r="I67" s="216">
        <f>21/64</f>
        <v>0.328125</v>
      </c>
      <c r="J67" s="201"/>
      <c r="K67" s="201"/>
      <c r="L67" s="201"/>
      <c r="M67" s="201"/>
      <c r="S67" s="217">
        <v>0.16700000000000001</v>
      </c>
      <c r="T67" s="220">
        <v>-4</v>
      </c>
      <c r="AA67" s="230"/>
      <c r="AB67" s="230"/>
      <c r="AC67" s="230"/>
      <c r="AD67" s="230"/>
      <c r="AE67" s="230"/>
      <c r="AF67" s="230"/>
      <c r="AG67" s="230"/>
      <c r="AH67" s="230"/>
      <c r="AI67" s="230"/>
    </row>
    <row r="68" spans="3:37" s="202" customFormat="1" ht="12.75" customHeight="1" x14ac:dyDescent="0.25">
      <c r="C68" s="201" t="s">
        <v>56</v>
      </c>
      <c r="D68" s="216">
        <v>0.5</v>
      </c>
      <c r="E68" s="216">
        <f t="shared" si="4"/>
        <v>0.41249999999999998</v>
      </c>
      <c r="F68" s="204">
        <f t="shared" si="5"/>
        <v>63.030303030303031</v>
      </c>
      <c r="G68" s="201">
        <v>289</v>
      </c>
      <c r="H68" s="204">
        <f t="shared" si="3"/>
        <v>9.9655172413793096</v>
      </c>
      <c r="I68" s="216">
        <f>21/64</f>
        <v>0.328125</v>
      </c>
      <c r="J68" s="201"/>
      <c r="K68" s="201"/>
      <c r="L68" s="201"/>
      <c r="M68" s="201"/>
      <c r="S68" s="217">
        <f>S67+(S69-S67)/2</f>
        <v>0.17725000000000002</v>
      </c>
      <c r="T68" s="220">
        <v>-4.5</v>
      </c>
      <c r="AA68" s="230"/>
      <c r="AB68" s="230"/>
      <c r="AC68" s="230"/>
      <c r="AD68" s="230"/>
      <c r="AE68" s="230"/>
      <c r="AF68" s="230"/>
      <c r="AG68" s="230"/>
      <c r="AH68" s="230"/>
      <c r="AI68" s="230"/>
    </row>
    <row r="69" spans="3:37" s="202" customFormat="1" ht="12.75" customHeight="1" x14ac:dyDescent="0.25">
      <c r="C69" s="201" t="s">
        <v>55</v>
      </c>
      <c r="D69" s="216">
        <v>0.51500000000000001</v>
      </c>
      <c r="E69" s="216">
        <f t="shared" si="4"/>
        <v>0.424875</v>
      </c>
      <c r="F69" s="204">
        <f t="shared" si="5"/>
        <v>61.194468961459251</v>
      </c>
      <c r="G69" s="201">
        <v>257</v>
      </c>
      <c r="H69" s="204">
        <f t="shared" si="3"/>
        <v>8.862068965517242</v>
      </c>
      <c r="I69" s="216">
        <f>22/64</f>
        <v>0.34375</v>
      </c>
      <c r="J69" s="201"/>
      <c r="K69" s="201"/>
      <c r="L69" s="201"/>
      <c r="M69" s="201"/>
      <c r="S69" s="217">
        <v>0.1875</v>
      </c>
      <c r="T69" s="220">
        <v>-5</v>
      </c>
      <c r="AC69" s="230"/>
      <c r="AD69" s="230"/>
      <c r="AE69" s="230"/>
      <c r="AF69" s="230"/>
      <c r="AG69" s="230"/>
      <c r="AH69" s="230"/>
      <c r="AI69" s="230"/>
      <c r="AJ69" s="230"/>
      <c r="AK69" s="230"/>
    </row>
    <row r="70" spans="3:37" s="202" customFormat="1" x14ac:dyDescent="0.25">
      <c r="C70" s="201" t="s">
        <v>58</v>
      </c>
      <c r="D70" s="216">
        <v>0.43</v>
      </c>
      <c r="E70" s="216">
        <f t="shared" si="4"/>
        <v>0.35474999999999995</v>
      </c>
      <c r="F70" s="204">
        <f t="shared" si="5"/>
        <v>73.291050035236097</v>
      </c>
      <c r="G70" s="201">
        <v>302</v>
      </c>
      <c r="H70" s="204">
        <f t="shared" si="3"/>
        <v>10.413793103448276</v>
      </c>
      <c r="I70" s="216">
        <f>22/64</f>
        <v>0.34375</v>
      </c>
      <c r="J70" s="201"/>
      <c r="K70" s="201"/>
      <c r="L70" s="201"/>
      <c r="M70" s="201"/>
      <c r="S70" s="217">
        <f>S69+(S71-S69)/2</f>
        <v>0.19400000000000001</v>
      </c>
      <c r="T70" s="220">
        <v>-5.5</v>
      </c>
    </row>
    <row r="71" spans="3:37" s="202" customFormat="1" x14ac:dyDescent="0.25">
      <c r="C71" s="201" t="s">
        <v>57</v>
      </c>
      <c r="D71" s="216">
        <v>0.42499999999999999</v>
      </c>
      <c r="E71" s="216">
        <f t="shared" si="4"/>
        <v>0.35062499999999996</v>
      </c>
      <c r="F71" s="204">
        <f t="shared" si="5"/>
        <v>74.15329768270945</v>
      </c>
      <c r="G71" s="201">
        <v>275</v>
      </c>
      <c r="H71" s="204">
        <f t="shared" si="3"/>
        <v>9.4827586206896548</v>
      </c>
      <c r="I71" s="216">
        <f>23/64</f>
        <v>0.359375</v>
      </c>
      <c r="J71" s="201"/>
      <c r="K71" s="201"/>
      <c r="L71" s="201"/>
      <c r="M71" s="201"/>
      <c r="S71" s="217">
        <v>0.20050000000000001</v>
      </c>
      <c r="T71" s="220">
        <v>-6</v>
      </c>
      <c r="W71" s="230"/>
    </row>
    <row r="72" spans="3:37" s="202" customFormat="1" x14ac:dyDescent="0.25">
      <c r="C72" s="201" t="s">
        <v>59</v>
      </c>
      <c r="D72" s="216">
        <v>0.38500000000000001</v>
      </c>
      <c r="E72" s="216">
        <f t="shared" si="4"/>
        <v>0.31762499999999999</v>
      </c>
      <c r="F72" s="204">
        <f t="shared" si="5"/>
        <v>81.857536402990945</v>
      </c>
      <c r="G72" s="201">
        <v>280</v>
      </c>
      <c r="H72" s="204">
        <f t="shared" si="3"/>
        <v>9.6551724137931032</v>
      </c>
      <c r="I72" s="216">
        <f>24/64</f>
        <v>0.375</v>
      </c>
      <c r="J72" s="201"/>
      <c r="K72" s="201"/>
      <c r="L72" s="201"/>
      <c r="M72" s="201"/>
      <c r="S72" s="217">
        <f>S71+(S73-S71)/2</f>
        <v>0.20674999999999999</v>
      </c>
      <c r="T72" s="220">
        <v>-6.5</v>
      </c>
    </row>
    <row r="73" spans="3:37" s="202" customFormat="1" x14ac:dyDescent="0.25">
      <c r="C73" s="201" t="s">
        <v>60</v>
      </c>
      <c r="D73" s="216">
        <v>0.32500000000000001</v>
      </c>
      <c r="E73" s="216">
        <f t="shared" si="4"/>
        <v>0.268125</v>
      </c>
      <c r="F73" s="204">
        <f t="shared" si="5"/>
        <v>96.969696969696969</v>
      </c>
      <c r="G73" s="201">
        <v>298</v>
      </c>
      <c r="H73" s="204">
        <f t="shared" si="3"/>
        <v>10.275862068965518</v>
      </c>
      <c r="I73" s="216">
        <f>25/64</f>
        <v>0.390625</v>
      </c>
      <c r="J73" s="201"/>
      <c r="K73" s="201"/>
      <c r="L73" s="201"/>
      <c r="M73" s="201"/>
      <c r="S73" s="217">
        <v>0.21299999999999999</v>
      </c>
      <c r="T73" s="220">
        <v>-7</v>
      </c>
      <c r="W73" s="230"/>
    </row>
    <row r="74" spans="3:37" s="202" customFormat="1" x14ac:dyDescent="0.25">
      <c r="C74" s="201" t="s">
        <v>86</v>
      </c>
      <c r="D74" s="216">
        <v>0.3</v>
      </c>
      <c r="E74" s="216">
        <f t="shared" si="4"/>
        <v>0.24749999999999997</v>
      </c>
      <c r="F74" s="204">
        <f t="shared" si="5"/>
        <v>105.05050505050507</v>
      </c>
      <c r="G74" s="201">
        <f>H74*29</f>
        <v>292.89999999999998</v>
      </c>
      <c r="H74" s="204">
        <v>10.1</v>
      </c>
      <c r="I74" s="216">
        <f>5/16</f>
        <v>0.3125</v>
      </c>
      <c r="J74" s="201"/>
      <c r="K74" s="201"/>
      <c r="L74" s="201"/>
      <c r="M74" s="201"/>
      <c r="S74" s="217">
        <f>S73+(S75-S73)/2</f>
        <v>0.21925</v>
      </c>
      <c r="T74" s="220">
        <v>-7.5</v>
      </c>
    </row>
    <row r="75" spans="3:37" s="202" customFormat="1" x14ac:dyDescent="0.25">
      <c r="C75" s="201" t="s">
        <v>85</v>
      </c>
      <c r="D75" s="216">
        <v>0.34</v>
      </c>
      <c r="E75" s="216">
        <f t="shared" si="4"/>
        <v>0.28050000000000003</v>
      </c>
      <c r="F75" s="204">
        <f t="shared" si="5"/>
        <v>92.691622103386806</v>
      </c>
      <c r="G75" s="201">
        <f>H75*29</f>
        <v>290</v>
      </c>
      <c r="H75" s="204">
        <v>10</v>
      </c>
      <c r="I75" s="216">
        <f>5/16</f>
        <v>0.3125</v>
      </c>
      <c r="J75" s="201"/>
      <c r="K75" s="201"/>
      <c r="L75" s="201"/>
      <c r="M75" s="201"/>
      <c r="S75" s="217">
        <v>0.22550000000000001</v>
      </c>
      <c r="T75" s="220">
        <v>-8</v>
      </c>
    </row>
    <row r="76" spans="3:37" s="202" customFormat="1" x14ac:dyDescent="0.25">
      <c r="C76" s="201" t="s">
        <v>84</v>
      </c>
      <c r="D76" s="216">
        <v>0.4</v>
      </c>
      <c r="E76" s="216">
        <f t="shared" si="4"/>
        <v>0.33</v>
      </c>
      <c r="F76" s="204">
        <f t="shared" si="5"/>
        <v>78.787878787878782</v>
      </c>
      <c r="G76" s="201">
        <f>H76*29</f>
        <v>263.89999999999998</v>
      </c>
      <c r="H76" s="204">
        <v>9.1</v>
      </c>
      <c r="I76" s="216">
        <f>5/16</f>
        <v>0.3125</v>
      </c>
      <c r="J76" s="201"/>
      <c r="K76" s="201"/>
      <c r="L76" s="201"/>
      <c r="M76" s="201"/>
      <c r="S76" s="217">
        <f>S75+(S77-S75)/2</f>
        <v>0.23175000000000001</v>
      </c>
      <c r="T76" s="220">
        <v>-8.5</v>
      </c>
    </row>
    <row r="77" spans="3:37" s="202" customFormat="1" x14ac:dyDescent="0.25">
      <c r="C77" s="201" t="s">
        <v>83</v>
      </c>
      <c r="D77" s="216">
        <v>0.5</v>
      </c>
      <c r="E77" s="216">
        <f t="shared" si="4"/>
        <v>0.41249999999999998</v>
      </c>
      <c r="F77" s="204">
        <f t="shared" si="5"/>
        <v>63.030303030303031</v>
      </c>
      <c r="G77" s="201">
        <f>H77*29</f>
        <v>232</v>
      </c>
      <c r="H77" s="204">
        <v>8</v>
      </c>
      <c r="I77" s="216">
        <f>5/16</f>
        <v>0.3125</v>
      </c>
      <c r="J77" s="201"/>
      <c r="K77" s="201"/>
      <c r="L77" s="201"/>
      <c r="M77" s="201"/>
      <c r="S77" s="217">
        <v>0.23799999999999999</v>
      </c>
      <c r="T77" s="220">
        <v>-9</v>
      </c>
    </row>
    <row r="78" spans="3:37" s="202" customFormat="1" x14ac:dyDescent="0.25">
      <c r="C78" s="201" t="s">
        <v>82</v>
      </c>
      <c r="D78" s="216">
        <v>0.6</v>
      </c>
      <c r="E78" s="216">
        <f t="shared" si="4"/>
        <v>0.49499999999999994</v>
      </c>
      <c r="F78" s="204">
        <f t="shared" si="5"/>
        <v>52.525252525252533</v>
      </c>
      <c r="G78" s="201">
        <f>H78*29</f>
        <v>203</v>
      </c>
      <c r="H78" s="204">
        <v>7</v>
      </c>
      <c r="I78" s="216">
        <v>0.29499999999999998</v>
      </c>
      <c r="J78" s="201"/>
      <c r="K78" s="201"/>
      <c r="L78" s="201"/>
      <c r="M78" s="201"/>
      <c r="S78" s="217">
        <f>S77+(S79-S77)/2</f>
        <v>0.24399999999999999</v>
      </c>
      <c r="T78" s="220">
        <v>-9.5</v>
      </c>
    </row>
    <row r="79" spans="3:37" s="202" customFormat="1" x14ac:dyDescent="0.25">
      <c r="C79" s="201" t="s">
        <v>106</v>
      </c>
      <c r="D79" s="216">
        <v>0.47899999999999998</v>
      </c>
      <c r="E79" s="216">
        <f t="shared" si="4"/>
        <v>0.39517499999999994</v>
      </c>
      <c r="F79" s="204">
        <f t="shared" si="5"/>
        <v>65.793635731005267</v>
      </c>
      <c r="G79" s="201">
        <f>6.2*29</f>
        <v>179.8</v>
      </c>
      <c r="H79" s="204">
        <v>6.2</v>
      </c>
      <c r="I79" s="216">
        <v>0.28499999999999998</v>
      </c>
      <c r="J79" s="201"/>
      <c r="K79" s="201"/>
      <c r="L79" s="201"/>
      <c r="M79" s="201"/>
      <c r="S79" s="217">
        <v>0.25</v>
      </c>
      <c r="T79" s="220">
        <v>-10</v>
      </c>
      <c r="V79" s="292"/>
      <c r="W79" s="292"/>
      <c r="X79" s="292"/>
      <c r="Y79" s="292"/>
      <c r="Z79" s="292"/>
      <c r="AA79" s="292"/>
    </row>
    <row r="80" spans="3:37" s="202" customFormat="1" x14ac:dyDescent="0.25">
      <c r="C80" s="201" t="s">
        <v>107</v>
      </c>
      <c r="D80" s="216">
        <v>0.39</v>
      </c>
      <c r="E80" s="216">
        <f t="shared" si="4"/>
        <v>0.32174999999999998</v>
      </c>
      <c r="F80" s="204">
        <f t="shared" si="5"/>
        <v>80.808080808080817</v>
      </c>
      <c r="G80" s="201">
        <f>7.9*29</f>
        <v>229.10000000000002</v>
      </c>
      <c r="H80" s="204">
        <v>7.9</v>
      </c>
      <c r="I80" s="216">
        <v>0.29799999999999999</v>
      </c>
      <c r="J80" s="201"/>
      <c r="K80" s="201"/>
      <c r="L80" s="201"/>
      <c r="M80" s="201"/>
      <c r="S80" s="217">
        <f>S79+(S81-S79)/2</f>
        <v>0.26600000000000001</v>
      </c>
      <c r="T80" s="220">
        <v>-10.5</v>
      </c>
      <c r="V80" s="292"/>
      <c r="W80" s="292"/>
      <c r="X80" s="292"/>
      <c r="Y80" s="292"/>
      <c r="Z80" s="292"/>
      <c r="AA80" s="292"/>
    </row>
    <row r="81" spans="3:27" s="202" customFormat="1" x14ac:dyDescent="0.25">
      <c r="C81" s="201" t="s">
        <v>189</v>
      </c>
      <c r="D81" s="216">
        <v>0.52400000000000002</v>
      </c>
      <c r="E81" s="216">
        <f t="shared" si="4"/>
        <v>0.43230000000000002</v>
      </c>
      <c r="F81" s="204">
        <f t="shared" si="5"/>
        <v>60.143418922044873</v>
      </c>
      <c r="G81" s="201">
        <f t="shared" ref="G81:G92" si="6">H81*29</f>
        <v>191.39999999999998</v>
      </c>
      <c r="H81" s="204">
        <v>6.6</v>
      </c>
      <c r="I81" s="216">
        <f>5/16</f>
        <v>0.3125</v>
      </c>
      <c r="J81" s="201"/>
      <c r="K81" s="201"/>
      <c r="L81" s="201"/>
      <c r="M81" s="201"/>
      <c r="S81" s="217">
        <v>0.28199999999999997</v>
      </c>
      <c r="T81" s="220">
        <v>-11</v>
      </c>
      <c r="V81" s="292"/>
      <c r="W81" s="292"/>
      <c r="X81" s="292"/>
      <c r="Y81" s="292"/>
      <c r="Z81" s="292"/>
      <c r="AA81" s="292"/>
    </row>
    <row r="82" spans="3:27" s="202" customFormat="1" x14ac:dyDescent="0.25">
      <c r="C82" s="201" t="s">
        <v>190</v>
      </c>
      <c r="D82" s="216">
        <v>0.42</v>
      </c>
      <c r="E82" s="216">
        <f t="shared" si="4"/>
        <v>0.34649999999999997</v>
      </c>
      <c r="F82" s="204">
        <f t="shared" si="5"/>
        <v>75.036075036075047</v>
      </c>
      <c r="G82" s="201">
        <f t="shared" si="6"/>
        <v>217.5</v>
      </c>
      <c r="H82" s="204">
        <v>7.5</v>
      </c>
      <c r="I82" s="216">
        <f>5/16</f>
        <v>0.3125</v>
      </c>
      <c r="J82" s="201"/>
      <c r="K82" s="201"/>
      <c r="L82" s="201"/>
      <c r="M82" s="201"/>
      <c r="S82" s="217">
        <f>S81+(S83-S81)/2</f>
        <v>0.29725000000000001</v>
      </c>
      <c r="T82" s="220">
        <v>-11.5</v>
      </c>
      <c r="V82" s="292"/>
      <c r="W82" s="292"/>
      <c r="X82" s="292"/>
      <c r="Y82" s="292"/>
      <c r="Z82" s="292"/>
      <c r="AA82" s="292"/>
    </row>
    <row r="83" spans="3:27" s="202" customFormat="1" x14ac:dyDescent="0.25">
      <c r="C83" s="201" t="s">
        <v>191</v>
      </c>
      <c r="D83" s="216">
        <v>0.35899999999999999</v>
      </c>
      <c r="E83" s="216">
        <f t="shared" si="4"/>
        <v>0.29617499999999997</v>
      </c>
      <c r="F83" s="204">
        <f t="shared" si="5"/>
        <v>87.785937368110083</v>
      </c>
      <c r="G83" s="201">
        <f t="shared" si="6"/>
        <v>249.39999999999998</v>
      </c>
      <c r="H83" s="204">
        <v>8.6</v>
      </c>
      <c r="I83" s="216">
        <f>5/16</f>
        <v>0.3125</v>
      </c>
      <c r="J83" s="201"/>
      <c r="K83" s="201"/>
      <c r="L83" s="201"/>
      <c r="M83" s="201"/>
      <c r="S83" s="217">
        <f>5/16</f>
        <v>0.3125</v>
      </c>
      <c r="T83" s="220">
        <v>-12</v>
      </c>
      <c r="V83" s="292"/>
      <c r="W83" s="292"/>
      <c r="X83" s="292"/>
      <c r="Y83" s="292"/>
      <c r="Z83" s="292"/>
      <c r="AA83" s="292"/>
    </row>
    <row r="84" spans="3:27" s="202" customFormat="1" x14ac:dyDescent="0.25">
      <c r="C84" s="201" t="s">
        <v>192</v>
      </c>
      <c r="D84" s="216">
        <v>0.32</v>
      </c>
      <c r="E84" s="216">
        <f t="shared" si="4"/>
        <v>0.26400000000000001</v>
      </c>
      <c r="F84" s="204">
        <f t="shared" si="5"/>
        <v>98.484848484848484</v>
      </c>
      <c r="G84" s="201">
        <f t="shared" si="6"/>
        <v>266.79999999999995</v>
      </c>
      <c r="H84" s="204">
        <v>9.1999999999999993</v>
      </c>
      <c r="I84" s="216">
        <f>5/16</f>
        <v>0.3125</v>
      </c>
      <c r="J84" s="201"/>
      <c r="K84" s="201"/>
      <c r="L84" s="201"/>
      <c r="M84" s="201"/>
      <c r="S84" s="217">
        <f>S83+(S85-S83)/2</f>
        <v>0.32874999999999999</v>
      </c>
      <c r="T84" s="220">
        <v>-12.5</v>
      </c>
    </row>
    <row r="85" spans="3:27" s="202" customFormat="1" x14ac:dyDescent="0.25">
      <c r="C85" s="201" t="s">
        <v>66</v>
      </c>
      <c r="D85" s="216">
        <v>0.47</v>
      </c>
      <c r="E85" s="216">
        <f t="shared" si="4"/>
        <v>0.38774999999999998</v>
      </c>
      <c r="F85" s="204">
        <f t="shared" si="5"/>
        <v>67.053513862024502</v>
      </c>
      <c r="G85" s="201">
        <f t="shared" si="6"/>
        <v>275.5</v>
      </c>
      <c r="H85" s="204">
        <v>9.5</v>
      </c>
      <c r="I85" s="216">
        <v>0.3</v>
      </c>
      <c r="J85" s="201"/>
      <c r="K85" s="201"/>
      <c r="L85" s="201"/>
      <c r="M85" s="201"/>
      <c r="S85" s="217">
        <v>0.34499999999999997</v>
      </c>
      <c r="T85" s="220">
        <v>-13</v>
      </c>
    </row>
    <row r="86" spans="3:27" s="202" customFormat="1" x14ac:dyDescent="0.25">
      <c r="C86" s="201" t="s">
        <v>67</v>
      </c>
      <c r="D86" s="216">
        <v>0.4</v>
      </c>
      <c r="E86" s="216">
        <f t="shared" si="4"/>
        <v>0.33</v>
      </c>
      <c r="F86" s="204">
        <f t="shared" si="5"/>
        <v>78.787878787878782</v>
      </c>
      <c r="G86" s="201">
        <f t="shared" si="6"/>
        <v>290</v>
      </c>
      <c r="H86" s="204">
        <v>10</v>
      </c>
      <c r="I86" s="216">
        <v>0.30299999999999999</v>
      </c>
      <c r="J86" s="201"/>
      <c r="K86" s="201"/>
      <c r="L86" s="201"/>
      <c r="M86" s="201"/>
      <c r="S86" s="217">
        <f>S85+(S87-S85)/2</f>
        <v>0.36</v>
      </c>
      <c r="T86" s="220">
        <v>-13.5</v>
      </c>
    </row>
    <row r="87" spans="3:27" s="202" customFormat="1" x14ac:dyDescent="0.25">
      <c r="C87" s="201" t="s">
        <v>68</v>
      </c>
      <c r="D87" s="216">
        <v>0.3</v>
      </c>
      <c r="E87" s="216">
        <f t="shared" ref="E87:E118" si="7">D87*0.825</f>
        <v>0.24749999999999997</v>
      </c>
      <c r="F87" s="204">
        <f t="shared" ref="F87:F118" si="8">26/E87</f>
        <v>105.05050505050507</v>
      </c>
      <c r="G87" s="201">
        <f t="shared" si="6"/>
        <v>333.5</v>
      </c>
      <c r="H87" s="204">
        <v>11.5</v>
      </c>
      <c r="I87" s="216">
        <v>0.31</v>
      </c>
      <c r="J87" s="201"/>
      <c r="K87" s="201"/>
      <c r="L87" s="201"/>
      <c r="M87" s="201"/>
      <c r="S87" s="217">
        <v>0.375</v>
      </c>
      <c r="T87" s="220">
        <v>-14</v>
      </c>
    </row>
    <row r="88" spans="3:27" s="202" customFormat="1" x14ac:dyDescent="0.25">
      <c r="C88" s="201" t="s">
        <v>69</v>
      </c>
      <c r="D88" s="216">
        <v>0.2</v>
      </c>
      <c r="E88" s="216">
        <f t="shared" si="7"/>
        <v>0.16500000000000001</v>
      </c>
      <c r="F88" s="204">
        <f t="shared" si="8"/>
        <v>157.57575757575756</v>
      </c>
      <c r="G88" s="201">
        <f t="shared" si="6"/>
        <v>449.5</v>
      </c>
      <c r="H88" s="204">
        <v>15.5</v>
      </c>
      <c r="I88" s="216">
        <v>0.32500000000000001</v>
      </c>
      <c r="J88" s="201"/>
      <c r="K88" s="201"/>
      <c r="L88" s="201"/>
      <c r="M88" s="201"/>
      <c r="S88" s="217">
        <f>S87+(S89-S87)/2</f>
        <v>0.39050000000000001</v>
      </c>
      <c r="T88" s="220">
        <v>-14.5</v>
      </c>
    </row>
    <row r="89" spans="3:27" s="202" customFormat="1" x14ac:dyDescent="0.25">
      <c r="C89" s="201" t="s">
        <v>62</v>
      </c>
      <c r="D89" s="216">
        <v>0.65</v>
      </c>
      <c r="E89" s="216">
        <f t="shared" si="7"/>
        <v>0.53625</v>
      </c>
      <c r="F89" s="204">
        <f t="shared" si="8"/>
        <v>48.484848484848484</v>
      </c>
      <c r="G89" s="201">
        <f t="shared" si="6"/>
        <v>171.10000000000002</v>
      </c>
      <c r="H89" s="204">
        <v>5.9</v>
      </c>
      <c r="I89" s="216">
        <v>0.28000000000000003</v>
      </c>
      <c r="J89" s="201"/>
      <c r="K89" s="201"/>
      <c r="L89" s="201"/>
      <c r="M89" s="201"/>
      <c r="S89" s="217">
        <v>0.40600000000000003</v>
      </c>
      <c r="T89" s="220">
        <v>-15</v>
      </c>
    </row>
    <row r="90" spans="3:27" s="202" customFormat="1" x14ac:dyDescent="0.25">
      <c r="C90" s="201" t="s">
        <v>63</v>
      </c>
      <c r="D90" s="216">
        <v>0.5</v>
      </c>
      <c r="E90" s="216">
        <f t="shared" si="7"/>
        <v>0.41249999999999998</v>
      </c>
      <c r="F90" s="204">
        <f t="shared" si="8"/>
        <v>63.030303030303031</v>
      </c>
      <c r="G90" s="201">
        <f t="shared" si="6"/>
        <v>200.10000000000002</v>
      </c>
      <c r="H90" s="204">
        <v>6.9</v>
      </c>
      <c r="I90" s="216">
        <v>0.28499999999999998</v>
      </c>
      <c r="J90" s="201"/>
      <c r="K90" s="201"/>
      <c r="L90" s="201"/>
      <c r="M90" s="201"/>
      <c r="S90" s="217">
        <f>S89+(S91-S89)/2</f>
        <v>0.42175000000000001</v>
      </c>
      <c r="T90" s="220">
        <v>-15.5</v>
      </c>
    </row>
    <row r="91" spans="3:27" s="202" customFormat="1" x14ac:dyDescent="0.25">
      <c r="C91" s="201" t="s">
        <v>64</v>
      </c>
      <c r="D91" s="216">
        <v>0.4</v>
      </c>
      <c r="E91" s="216">
        <f t="shared" si="7"/>
        <v>0.33</v>
      </c>
      <c r="F91" s="204">
        <f t="shared" si="8"/>
        <v>78.787878787878782</v>
      </c>
      <c r="G91" s="201">
        <f t="shared" si="6"/>
        <v>229.10000000000002</v>
      </c>
      <c r="H91" s="204">
        <v>7.9</v>
      </c>
      <c r="I91" s="216">
        <v>0.29199999999999998</v>
      </c>
      <c r="J91" s="201"/>
      <c r="K91" s="201"/>
      <c r="L91" s="201"/>
      <c r="M91" s="201"/>
      <c r="S91" s="217">
        <f>7/16</f>
        <v>0.4375</v>
      </c>
      <c r="T91" s="220">
        <v>-16</v>
      </c>
    </row>
    <row r="92" spans="3:27" s="202" customFormat="1" x14ac:dyDescent="0.25">
      <c r="C92" s="201" t="s">
        <v>65</v>
      </c>
      <c r="D92" s="216">
        <v>0.33</v>
      </c>
      <c r="E92" s="216">
        <f t="shared" si="7"/>
        <v>0.27224999999999999</v>
      </c>
      <c r="F92" s="204">
        <f t="shared" si="8"/>
        <v>95.500459136822769</v>
      </c>
      <c r="G92" s="201">
        <f t="shared" si="6"/>
        <v>275.5</v>
      </c>
      <c r="H92" s="204">
        <v>9.5</v>
      </c>
      <c r="I92" s="216">
        <v>0.30199999999999999</v>
      </c>
      <c r="J92" s="201"/>
      <c r="K92" s="201"/>
      <c r="L92" s="201"/>
      <c r="M92" s="201"/>
      <c r="S92" s="217">
        <f>S91+(S93-S91)/2</f>
        <v>0.45374999999999999</v>
      </c>
      <c r="T92" s="220">
        <v>-16.5</v>
      </c>
    </row>
    <row r="93" spans="3:27" s="202" customFormat="1" x14ac:dyDescent="0.25">
      <c r="C93" s="201" t="s">
        <v>124</v>
      </c>
      <c r="D93" s="216">
        <v>0.60799999999999998</v>
      </c>
      <c r="E93" s="216">
        <f t="shared" si="7"/>
        <v>0.50159999999999993</v>
      </c>
      <c r="F93" s="204">
        <f t="shared" si="8"/>
        <v>51.834130781499212</v>
      </c>
      <c r="G93" s="201">
        <f>8.8*29</f>
        <v>255.20000000000002</v>
      </c>
      <c r="H93" s="204">
        <f>G93/29</f>
        <v>8.8000000000000007</v>
      </c>
      <c r="I93" s="216">
        <f>9/32</f>
        <v>0.28125</v>
      </c>
      <c r="J93" s="201"/>
      <c r="K93" s="201"/>
      <c r="L93" s="201"/>
      <c r="M93" s="201"/>
      <c r="S93" s="217">
        <v>0.47</v>
      </c>
      <c r="T93" s="220">
        <v>-17</v>
      </c>
    </row>
    <row r="94" spans="3:27" s="202" customFormat="1" x14ac:dyDescent="0.25">
      <c r="C94" s="201" t="s">
        <v>87</v>
      </c>
      <c r="D94" s="216">
        <v>0.53</v>
      </c>
      <c r="E94" s="216">
        <f t="shared" si="7"/>
        <v>0.43724999999999997</v>
      </c>
      <c r="F94" s="204">
        <f t="shared" si="8"/>
        <v>59.462550028587771</v>
      </c>
      <c r="G94" s="201">
        <f>9.4*29</f>
        <v>272.60000000000002</v>
      </c>
      <c r="H94" s="204">
        <f>G94/29</f>
        <v>9.4</v>
      </c>
      <c r="I94" s="216">
        <v>0.29099999999999998</v>
      </c>
      <c r="J94" s="201"/>
      <c r="K94" s="201"/>
      <c r="L94" s="201"/>
      <c r="M94" s="201"/>
      <c r="S94" s="217">
        <f>S93+(S95-S93)/2</f>
        <v>0.48499999999999999</v>
      </c>
      <c r="T94" s="220">
        <v>-17.5</v>
      </c>
    </row>
    <row r="95" spans="3:27" s="202" customFormat="1" x14ac:dyDescent="0.25">
      <c r="C95" s="201" t="s">
        <v>73</v>
      </c>
      <c r="D95" s="216">
        <v>0.48699999999999999</v>
      </c>
      <c r="E95" s="216">
        <f t="shared" si="7"/>
        <v>0.40177499999999999</v>
      </c>
      <c r="F95" s="204">
        <f t="shared" si="8"/>
        <v>64.712836786758757</v>
      </c>
      <c r="G95" s="201">
        <f>10*29</f>
        <v>290</v>
      </c>
      <c r="H95" s="204">
        <f>G95/29</f>
        <v>10</v>
      </c>
      <c r="I95" s="216">
        <v>0.3</v>
      </c>
      <c r="J95" s="201"/>
      <c r="K95" s="201"/>
      <c r="L95" s="201"/>
      <c r="M95" s="201"/>
      <c r="S95" s="217">
        <v>0.5</v>
      </c>
      <c r="T95" s="220">
        <v>-18</v>
      </c>
    </row>
    <row r="96" spans="3:27" s="202" customFormat="1" x14ac:dyDescent="0.25">
      <c r="C96" s="201" t="s">
        <v>74</v>
      </c>
      <c r="D96" s="216">
        <v>0.373</v>
      </c>
      <c r="E96" s="216">
        <f t="shared" si="7"/>
        <v>0.30772499999999997</v>
      </c>
      <c r="F96" s="204">
        <f t="shared" si="8"/>
        <v>84.491022828824441</v>
      </c>
      <c r="G96" s="201">
        <f>11*29</f>
        <v>319</v>
      </c>
      <c r="H96" s="204">
        <f>G96/29</f>
        <v>11</v>
      </c>
      <c r="I96" s="216">
        <v>0.30499999999999999</v>
      </c>
      <c r="J96" s="201"/>
      <c r="K96" s="201"/>
      <c r="L96" s="201"/>
      <c r="M96" s="201"/>
      <c r="S96" s="217">
        <f>S95+(S97-S95)/2</f>
        <v>0.51600000000000001</v>
      </c>
      <c r="T96" s="220">
        <v>-18.5</v>
      </c>
    </row>
    <row r="97" spans="3:20" s="202" customFormat="1" x14ac:dyDescent="0.25">
      <c r="C97" s="201" t="s">
        <v>75</v>
      </c>
      <c r="D97" s="216">
        <v>0.32</v>
      </c>
      <c r="E97" s="216">
        <f t="shared" si="7"/>
        <v>0.26400000000000001</v>
      </c>
      <c r="F97" s="204">
        <f t="shared" si="8"/>
        <v>98.484848484848484</v>
      </c>
      <c r="G97" s="201">
        <f>12*29</f>
        <v>348</v>
      </c>
      <c r="H97" s="204">
        <f>G97/29</f>
        <v>12</v>
      </c>
      <c r="I97" s="216">
        <v>0.309</v>
      </c>
      <c r="J97" s="201"/>
      <c r="K97" s="201"/>
      <c r="L97" s="201"/>
      <c r="M97" s="201"/>
      <c r="S97" s="217">
        <v>0.53200000000000003</v>
      </c>
      <c r="T97" s="220">
        <v>-19</v>
      </c>
    </row>
    <row r="98" spans="3:20" s="202" customFormat="1" x14ac:dyDescent="0.25">
      <c r="C98" s="196" t="s">
        <v>155</v>
      </c>
      <c r="D98" s="216">
        <v>0.59799999999999998</v>
      </c>
      <c r="E98" s="216">
        <f t="shared" si="7"/>
        <v>0.49334999999999996</v>
      </c>
      <c r="F98" s="204">
        <f t="shared" si="8"/>
        <v>52.700922266139663</v>
      </c>
      <c r="G98" s="201">
        <f t="shared" ref="G98:G129" si="9">H98*29</f>
        <v>223.3</v>
      </c>
      <c r="H98" s="204">
        <v>7.7</v>
      </c>
      <c r="I98" s="216">
        <v>0.28000000000000003</v>
      </c>
      <c r="J98" s="201"/>
      <c r="K98" s="201"/>
      <c r="L98" s="201"/>
      <c r="M98" s="201"/>
      <c r="S98" s="217">
        <f>S97+(S99-S97)/2</f>
        <v>0.54725000000000001</v>
      </c>
      <c r="T98" s="220">
        <v>-19.5</v>
      </c>
    </row>
    <row r="99" spans="3:20" s="202" customFormat="1" x14ac:dyDescent="0.25">
      <c r="C99" s="196" t="s">
        <v>158</v>
      </c>
      <c r="D99" s="216">
        <v>0.505</v>
      </c>
      <c r="E99" s="216">
        <f t="shared" si="7"/>
        <v>0.41662499999999997</v>
      </c>
      <c r="F99" s="204">
        <f t="shared" si="8"/>
        <v>62.406240624062413</v>
      </c>
      <c r="G99" s="201">
        <f t="shared" si="9"/>
        <v>240.70000000000002</v>
      </c>
      <c r="H99" s="204">
        <v>8.3000000000000007</v>
      </c>
      <c r="I99" s="216">
        <v>0.28299999999999997</v>
      </c>
      <c r="J99" s="201"/>
      <c r="K99" s="201"/>
      <c r="L99" s="201"/>
      <c r="M99" s="201"/>
      <c r="S99" s="217">
        <f>9/16</f>
        <v>0.5625</v>
      </c>
      <c r="T99" s="220">
        <v>-20</v>
      </c>
    </row>
    <row r="100" spans="3:20" s="202" customFormat="1" x14ac:dyDescent="0.25">
      <c r="C100" s="196" t="s">
        <v>159</v>
      </c>
      <c r="D100" s="216">
        <v>0.39700000000000002</v>
      </c>
      <c r="E100" s="216">
        <f t="shared" si="7"/>
        <v>0.32752500000000001</v>
      </c>
      <c r="F100" s="204">
        <f t="shared" si="8"/>
        <v>79.383253186779626</v>
      </c>
      <c r="G100" s="201">
        <f t="shared" si="9"/>
        <v>258.10000000000002</v>
      </c>
      <c r="H100" s="204">
        <v>8.9</v>
      </c>
      <c r="I100" s="216">
        <v>0.29299999999999998</v>
      </c>
      <c r="J100" s="201"/>
      <c r="K100" s="201"/>
      <c r="L100" s="201"/>
      <c r="M100" s="201"/>
      <c r="S100" s="217">
        <f>S99+(S101-S99)/2</f>
        <v>0.59375</v>
      </c>
      <c r="T100" s="220">
        <v>-20.5</v>
      </c>
    </row>
    <row r="101" spans="3:20" s="202" customFormat="1" x14ac:dyDescent="0.25">
      <c r="C101" s="196" t="s">
        <v>160</v>
      </c>
      <c r="D101" s="216">
        <v>0.33600000000000002</v>
      </c>
      <c r="E101" s="216">
        <f t="shared" si="7"/>
        <v>0.2772</v>
      </c>
      <c r="F101" s="204">
        <f t="shared" si="8"/>
        <v>93.795093795093791</v>
      </c>
      <c r="G101" s="201">
        <f t="shared" si="9"/>
        <v>284.20000000000005</v>
      </c>
      <c r="H101" s="204">
        <v>9.8000000000000007</v>
      </c>
      <c r="I101" s="216">
        <v>0.29799999999999999</v>
      </c>
      <c r="J101" s="201"/>
      <c r="K101" s="201"/>
      <c r="L101" s="201"/>
      <c r="M101" s="201"/>
      <c r="S101" s="217">
        <v>0.625</v>
      </c>
      <c r="T101" s="220">
        <v>-21</v>
      </c>
    </row>
    <row r="102" spans="3:20" s="202" customFormat="1" x14ac:dyDescent="0.25">
      <c r="C102" s="196" t="s">
        <v>157</v>
      </c>
      <c r="D102" s="216">
        <v>0.7</v>
      </c>
      <c r="E102" s="216">
        <f t="shared" si="7"/>
        <v>0.5774999999999999</v>
      </c>
      <c r="F102" s="204">
        <f t="shared" si="8"/>
        <v>45.021645021645028</v>
      </c>
      <c r="G102" s="201">
        <f t="shared" si="9"/>
        <v>217.5</v>
      </c>
      <c r="H102" s="204">
        <v>7.5</v>
      </c>
      <c r="I102" s="216">
        <v>0.254</v>
      </c>
      <c r="J102" s="201"/>
      <c r="K102" s="201"/>
      <c r="L102" s="201"/>
      <c r="M102" s="201"/>
      <c r="S102" s="217">
        <f>S101+(S103-S101)/2</f>
        <v>0.64579999999999993</v>
      </c>
      <c r="T102" s="220">
        <v>-21.5</v>
      </c>
    </row>
    <row r="103" spans="3:20" s="202" customFormat="1" x14ac:dyDescent="0.25">
      <c r="C103" s="196" t="s">
        <v>156</v>
      </c>
      <c r="D103" s="216">
        <v>0.8</v>
      </c>
      <c r="E103" s="216">
        <f t="shared" si="7"/>
        <v>0.66</v>
      </c>
      <c r="F103" s="204">
        <f t="shared" si="8"/>
        <v>39.393939393939391</v>
      </c>
      <c r="G103" s="201">
        <f t="shared" si="9"/>
        <v>182.7</v>
      </c>
      <c r="H103" s="204">
        <v>6.3</v>
      </c>
      <c r="I103" s="216">
        <v>0.25</v>
      </c>
      <c r="J103" s="201"/>
      <c r="K103" s="201"/>
      <c r="L103" s="201"/>
      <c r="M103" s="201"/>
      <c r="S103" s="217">
        <v>0.66659999999999997</v>
      </c>
      <c r="T103" s="220">
        <v>-22</v>
      </c>
    </row>
    <row r="104" spans="3:20" s="202" customFormat="1" x14ac:dyDescent="0.25">
      <c r="C104" s="201" t="s">
        <v>76</v>
      </c>
      <c r="D104" s="216">
        <v>0.41199999999999998</v>
      </c>
      <c r="E104" s="216">
        <f t="shared" si="7"/>
        <v>0.33989999999999998</v>
      </c>
      <c r="F104" s="204">
        <f t="shared" si="8"/>
        <v>76.49308620182407</v>
      </c>
      <c r="G104" s="201">
        <f t="shared" si="9"/>
        <v>287.10000000000002</v>
      </c>
      <c r="H104" s="204">
        <v>9.9</v>
      </c>
      <c r="I104" s="216">
        <v>0.29799999999999999</v>
      </c>
      <c r="J104" s="201"/>
      <c r="K104" s="201"/>
      <c r="L104" s="201"/>
      <c r="M104" s="201"/>
      <c r="S104" s="217">
        <f>S103+(S105-S103)/2</f>
        <v>0.68740000000000001</v>
      </c>
      <c r="T104" s="220">
        <v>-22.5</v>
      </c>
    </row>
    <row r="105" spans="3:20" s="202" customFormat="1" x14ac:dyDescent="0.25">
      <c r="C105" s="201" t="s">
        <v>77</v>
      </c>
      <c r="D105" s="216">
        <v>0.36199999999999999</v>
      </c>
      <c r="E105" s="216">
        <f t="shared" si="7"/>
        <v>0.29864999999999997</v>
      </c>
      <c r="F105" s="204">
        <f t="shared" si="8"/>
        <v>87.058429599866074</v>
      </c>
      <c r="G105" s="201">
        <f t="shared" si="9"/>
        <v>307.39999999999998</v>
      </c>
      <c r="H105" s="204">
        <v>10.6</v>
      </c>
      <c r="I105" s="216">
        <v>0.30099999999999999</v>
      </c>
      <c r="J105" s="201"/>
      <c r="K105" s="201"/>
      <c r="L105" s="201"/>
      <c r="M105" s="201"/>
      <c r="S105" s="217">
        <v>0.70820000000000005</v>
      </c>
      <c r="T105" s="220">
        <v>-23</v>
      </c>
    </row>
    <row r="106" spans="3:20" s="202" customFormat="1" x14ac:dyDescent="0.25">
      <c r="C106" s="201" t="s">
        <v>110</v>
      </c>
      <c r="D106" s="216">
        <v>0.41199999999999998</v>
      </c>
      <c r="E106" s="216">
        <f t="shared" si="7"/>
        <v>0.33989999999999998</v>
      </c>
      <c r="F106" s="204">
        <f t="shared" si="8"/>
        <v>76.49308620182407</v>
      </c>
      <c r="G106" s="201">
        <f t="shared" si="9"/>
        <v>310.29999999999995</v>
      </c>
      <c r="H106" s="204">
        <v>10.7</v>
      </c>
      <c r="I106" s="216">
        <v>0.30499999999999999</v>
      </c>
      <c r="J106" s="201"/>
      <c r="K106" s="201"/>
      <c r="L106" s="201"/>
      <c r="M106" s="201"/>
      <c r="S106" s="217">
        <f>S105+(S107-S105)/2</f>
        <v>0.72910000000000008</v>
      </c>
      <c r="T106" s="220">
        <v>-23.5</v>
      </c>
    </row>
    <row r="107" spans="3:20" s="202" customFormat="1" x14ac:dyDescent="0.25">
      <c r="C107" s="201" t="s">
        <v>111</v>
      </c>
      <c r="D107" s="216">
        <v>0.36199999999999999</v>
      </c>
      <c r="E107" s="216">
        <f t="shared" si="7"/>
        <v>0.29864999999999997</v>
      </c>
      <c r="F107" s="204">
        <f t="shared" si="8"/>
        <v>87.058429599866074</v>
      </c>
      <c r="G107" s="201">
        <f t="shared" si="9"/>
        <v>327.70000000000005</v>
      </c>
      <c r="H107" s="204">
        <v>11.3</v>
      </c>
      <c r="I107" s="216">
        <v>0.308</v>
      </c>
      <c r="J107" s="201"/>
      <c r="K107" s="201"/>
      <c r="L107" s="201"/>
      <c r="M107" s="201"/>
      <c r="S107" s="217">
        <v>0.75</v>
      </c>
      <c r="T107" s="220">
        <v>-24</v>
      </c>
    </row>
    <row r="108" spans="3:20" s="202" customFormat="1" x14ac:dyDescent="0.25">
      <c r="C108" s="201" t="s">
        <v>177</v>
      </c>
      <c r="D108" s="216">
        <v>0.68</v>
      </c>
      <c r="E108" s="216">
        <f t="shared" si="7"/>
        <v>0.56100000000000005</v>
      </c>
      <c r="F108" s="204">
        <f t="shared" si="8"/>
        <v>46.345811051693403</v>
      </c>
      <c r="G108" s="201">
        <f t="shared" si="9"/>
        <v>208.8</v>
      </c>
      <c r="H108" s="204">
        <v>7.2</v>
      </c>
      <c r="I108" s="216">
        <f>16/64</f>
        <v>0.25</v>
      </c>
      <c r="J108" s="201"/>
      <c r="K108" s="201"/>
      <c r="L108" s="201"/>
      <c r="M108" s="201"/>
      <c r="S108" s="217">
        <f>S107+(S109-S107)/2</f>
        <v>0.77079999999999993</v>
      </c>
      <c r="T108" s="220">
        <v>-24.5</v>
      </c>
    </row>
    <row r="109" spans="3:20" s="202" customFormat="1" x14ac:dyDescent="0.25">
      <c r="C109" s="201" t="s">
        <v>178</v>
      </c>
      <c r="D109" s="216">
        <v>0.56000000000000005</v>
      </c>
      <c r="E109" s="216">
        <f t="shared" si="7"/>
        <v>0.46200000000000002</v>
      </c>
      <c r="F109" s="204">
        <f t="shared" si="8"/>
        <v>56.277056277056275</v>
      </c>
      <c r="G109" s="201">
        <f t="shared" si="9"/>
        <v>226.2</v>
      </c>
      <c r="H109" s="204">
        <v>7.8</v>
      </c>
      <c r="I109" s="216">
        <f>17/64</f>
        <v>0.265625</v>
      </c>
      <c r="J109" s="201"/>
      <c r="K109" s="201"/>
      <c r="L109" s="201"/>
      <c r="M109" s="201"/>
      <c r="S109" s="217">
        <v>0.79159999999999997</v>
      </c>
      <c r="T109" s="220">
        <v>-25</v>
      </c>
    </row>
    <row r="110" spans="3:20" s="202" customFormat="1" x14ac:dyDescent="0.25">
      <c r="C110" s="201" t="s">
        <v>179</v>
      </c>
      <c r="D110" s="216">
        <v>0.5</v>
      </c>
      <c r="E110" s="216">
        <f t="shared" si="7"/>
        <v>0.41249999999999998</v>
      </c>
      <c r="F110" s="204">
        <f t="shared" si="8"/>
        <v>63.030303030303031</v>
      </c>
      <c r="G110" s="201">
        <f t="shared" si="9"/>
        <v>234.89999999999998</v>
      </c>
      <c r="H110" s="204">
        <v>8.1</v>
      </c>
      <c r="I110" s="216">
        <f>17/64</f>
        <v>0.265625</v>
      </c>
      <c r="J110" s="201"/>
      <c r="K110" s="201"/>
      <c r="L110" s="201"/>
      <c r="M110" s="201"/>
      <c r="S110" s="217">
        <f>S109+(S111-S109)/2</f>
        <v>0.8125</v>
      </c>
      <c r="T110" s="220">
        <v>-25.5</v>
      </c>
    </row>
    <row r="111" spans="3:20" s="202" customFormat="1" x14ac:dyDescent="0.25">
      <c r="C111" s="201" t="s">
        <v>180</v>
      </c>
      <c r="D111" s="216">
        <v>0.44</v>
      </c>
      <c r="E111" s="216">
        <f t="shared" si="7"/>
        <v>0.36299999999999999</v>
      </c>
      <c r="F111" s="204">
        <f t="shared" si="8"/>
        <v>71.625344352617077</v>
      </c>
      <c r="G111" s="201">
        <f t="shared" si="9"/>
        <v>249.39999999999998</v>
      </c>
      <c r="H111" s="204">
        <v>8.6</v>
      </c>
      <c r="I111" s="216">
        <f>9/32</f>
        <v>0.28125</v>
      </c>
      <c r="J111" s="201"/>
      <c r="K111" s="201"/>
      <c r="L111" s="201"/>
      <c r="M111" s="201"/>
      <c r="S111" s="217">
        <v>0.83340000000000003</v>
      </c>
      <c r="T111" s="220">
        <v>-26</v>
      </c>
    </row>
    <row r="112" spans="3:20" s="202" customFormat="1" x14ac:dyDescent="0.25">
      <c r="C112" s="201" t="s">
        <v>181</v>
      </c>
      <c r="D112" s="216">
        <v>0.39</v>
      </c>
      <c r="E112" s="216">
        <f t="shared" si="7"/>
        <v>0.32174999999999998</v>
      </c>
      <c r="F112" s="204">
        <f t="shared" si="8"/>
        <v>80.808080808080817</v>
      </c>
      <c r="G112" s="201">
        <f t="shared" si="9"/>
        <v>255.20000000000002</v>
      </c>
      <c r="H112" s="204">
        <v>8.8000000000000007</v>
      </c>
      <c r="I112" s="216">
        <f>9/32</f>
        <v>0.28125</v>
      </c>
      <c r="J112" s="201"/>
      <c r="K112" s="201"/>
      <c r="L112" s="201"/>
      <c r="M112" s="201"/>
      <c r="S112" s="217">
        <f>S111+(S113-S111)/2</f>
        <v>0.85420000000000007</v>
      </c>
      <c r="T112" s="220">
        <v>-26.5</v>
      </c>
    </row>
    <row r="113" spans="3:20" s="202" customFormat="1" x14ac:dyDescent="0.25">
      <c r="C113" s="201" t="s">
        <v>182</v>
      </c>
      <c r="D113" s="216">
        <v>0.34</v>
      </c>
      <c r="E113" s="216">
        <f t="shared" si="7"/>
        <v>0.28050000000000003</v>
      </c>
      <c r="F113" s="204">
        <f t="shared" si="8"/>
        <v>92.691622103386806</v>
      </c>
      <c r="G113" s="201">
        <f t="shared" si="9"/>
        <v>275.5</v>
      </c>
      <c r="H113" s="204">
        <v>9.5</v>
      </c>
      <c r="I113" s="216">
        <f>19/64</f>
        <v>0.296875</v>
      </c>
      <c r="J113" s="201"/>
      <c r="K113" s="201"/>
      <c r="L113" s="201"/>
      <c r="M113" s="201"/>
      <c r="S113" s="217">
        <f>7/8</f>
        <v>0.875</v>
      </c>
      <c r="T113" s="220">
        <v>-27</v>
      </c>
    </row>
    <row r="114" spans="3:20" s="202" customFormat="1" x14ac:dyDescent="0.25">
      <c r="C114" s="201" t="s">
        <v>183</v>
      </c>
      <c r="D114" s="216">
        <v>0.3</v>
      </c>
      <c r="E114" s="216">
        <f t="shared" si="7"/>
        <v>0.24749999999999997</v>
      </c>
      <c r="F114" s="204">
        <f t="shared" si="8"/>
        <v>105.05050505050507</v>
      </c>
      <c r="G114" s="201">
        <f t="shared" si="9"/>
        <v>287.10000000000002</v>
      </c>
      <c r="H114" s="204">
        <v>9.9</v>
      </c>
      <c r="I114" s="216">
        <f>5/16</f>
        <v>0.3125</v>
      </c>
      <c r="J114" s="201"/>
      <c r="K114" s="201"/>
      <c r="L114" s="201"/>
      <c r="M114" s="201"/>
    </row>
    <row r="115" spans="3:20" s="202" customFormat="1" x14ac:dyDescent="0.25">
      <c r="C115" s="201" t="s">
        <v>184</v>
      </c>
      <c r="D115" s="216">
        <v>0.75</v>
      </c>
      <c r="E115" s="216">
        <f t="shared" si="7"/>
        <v>0.61874999999999991</v>
      </c>
      <c r="F115" s="204">
        <f t="shared" si="8"/>
        <v>42.020202020202028</v>
      </c>
      <c r="G115" s="201">
        <f t="shared" si="9"/>
        <v>203</v>
      </c>
      <c r="H115" s="204">
        <v>7</v>
      </c>
      <c r="I115" s="216">
        <v>0.25</v>
      </c>
      <c r="J115" s="201"/>
      <c r="K115" s="201"/>
      <c r="L115" s="201"/>
      <c r="M115" s="201"/>
    </row>
    <row r="116" spans="3:20" s="202" customFormat="1" x14ac:dyDescent="0.25">
      <c r="C116" s="201" t="s">
        <v>185</v>
      </c>
      <c r="D116" s="216">
        <v>0.62</v>
      </c>
      <c r="E116" s="216">
        <f t="shared" si="7"/>
        <v>0.51149999999999995</v>
      </c>
      <c r="F116" s="204">
        <f t="shared" si="8"/>
        <v>50.830889540566965</v>
      </c>
      <c r="G116" s="201">
        <f t="shared" si="9"/>
        <v>217.5</v>
      </c>
      <c r="H116" s="204">
        <v>7.5</v>
      </c>
      <c r="I116" s="216">
        <v>0.26600000000000001</v>
      </c>
      <c r="J116" s="201"/>
      <c r="K116" s="201"/>
      <c r="L116" s="201"/>
      <c r="M116" s="201"/>
    </row>
    <row r="117" spans="3:20" s="202" customFormat="1" x14ac:dyDescent="0.25">
      <c r="C117" s="196" t="s">
        <v>323</v>
      </c>
      <c r="D117" s="216">
        <v>0.3</v>
      </c>
      <c r="E117" s="216">
        <f t="shared" si="7"/>
        <v>0.24749999999999997</v>
      </c>
      <c r="F117" s="204">
        <f t="shared" si="8"/>
        <v>105.05050505050507</v>
      </c>
      <c r="G117" s="201">
        <f t="shared" si="9"/>
        <v>301.60000000000002</v>
      </c>
      <c r="H117" s="204">
        <v>10.4</v>
      </c>
      <c r="I117" s="216">
        <v>0.28125</v>
      </c>
      <c r="J117" s="196" t="s">
        <v>327</v>
      </c>
      <c r="K117" s="201">
        <v>23</v>
      </c>
      <c r="L117" s="196" t="s">
        <v>329</v>
      </c>
      <c r="M117" s="201"/>
    </row>
    <row r="118" spans="3:20" s="202" customFormat="1" x14ac:dyDescent="0.25">
      <c r="C118" s="196" t="s">
        <v>324</v>
      </c>
      <c r="D118" s="216">
        <v>0.34</v>
      </c>
      <c r="E118" s="216">
        <f t="shared" si="7"/>
        <v>0.28050000000000003</v>
      </c>
      <c r="F118" s="204">
        <f t="shared" si="8"/>
        <v>92.691622103386806</v>
      </c>
      <c r="G118" s="201">
        <f t="shared" si="9"/>
        <v>281.29999999999995</v>
      </c>
      <c r="H118" s="204">
        <v>9.6999999999999993</v>
      </c>
      <c r="I118" s="216">
        <v>0.28125</v>
      </c>
      <c r="J118" s="196" t="s">
        <v>327</v>
      </c>
      <c r="K118" s="201">
        <v>23</v>
      </c>
      <c r="L118" s="196" t="s">
        <v>329</v>
      </c>
      <c r="M118" s="201"/>
    </row>
    <row r="119" spans="3:20" s="202" customFormat="1" x14ac:dyDescent="0.25">
      <c r="C119" s="196" t="s">
        <v>326</v>
      </c>
      <c r="D119" s="216">
        <v>0.44</v>
      </c>
      <c r="E119" s="216">
        <f t="shared" ref="E119:E150" si="10">D119*0.825</f>
        <v>0.36299999999999999</v>
      </c>
      <c r="F119" s="204">
        <f t="shared" ref="F119:F150" si="11">26/E119</f>
        <v>71.625344352617077</v>
      </c>
      <c r="G119" s="201">
        <f t="shared" si="9"/>
        <v>243.60000000000002</v>
      </c>
      <c r="H119" s="204">
        <v>8.4</v>
      </c>
      <c r="I119" s="216">
        <v>0.28125</v>
      </c>
      <c r="J119" s="196" t="s">
        <v>328</v>
      </c>
      <c r="K119" s="201">
        <v>23</v>
      </c>
      <c r="L119" s="196" t="s">
        <v>329</v>
      </c>
      <c r="M119" s="201"/>
    </row>
    <row r="120" spans="3:20" s="202" customFormat="1" x14ac:dyDescent="0.25">
      <c r="C120" s="196" t="s">
        <v>325</v>
      </c>
      <c r="D120" s="216">
        <v>0.39</v>
      </c>
      <c r="E120" s="216">
        <f t="shared" si="10"/>
        <v>0.32174999999999998</v>
      </c>
      <c r="F120" s="204">
        <f t="shared" si="11"/>
        <v>80.808080808080817</v>
      </c>
      <c r="G120" s="201">
        <f t="shared" si="9"/>
        <v>258.10000000000002</v>
      </c>
      <c r="H120" s="204">
        <v>8.9</v>
      </c>
      <c r="I120" s="216">
        <v>0.28125</v>
      </c>
      <c r="J120" s="196" t="s">
        <v>328</v>
      </c>
      <c r="K120" s="201">
        <v>23</v>
      </c>
      <c r="L120" s="196" t="s">
        <v>329</v>
      </c>
      <c r="M120" s="201"/>
    </row>
    <row r="121" spans="3:20" s="202" customFormat="1" x14ac:dyDescent="0.25">
      <c r="C121" s="196" t="s">
        <v>331</v>
      </c>
      <c r="D121" s="216">
        <v>0.3</v>
      </c>
      <c r="E121" s="216">
        <f t="shared" si="10"/>
        <v>0.24749999999999997</v>
      </c>
      <c r="F121" s="204">
        <f t="shared" si="11"/>
        <v>105.05050505050507</v>
      </c>
      <c r="G121" s="201">
        <f t="shared" si="9"/>
        <v>310.29999999999995</v>
      </c>
      <c r="H121" s="204">
        <v>10.7</v>
      </c>
      <c r="I121" s="216">
        <f>9/32</f>
        <v>0.28125</v>
      </c>
      <c r="J121" s="196" t="s">
        <v>330</v>
      </c>
      <c r="K121" s="201">
        <v>16</v>
      </c>
      <c r="L121" s="196" t="s">
        <v>322</v>
      </c>
      <c r="M121" s="203"/>
      <c r="N121" s="203"/>
    </row>
    <row r="122" spans="3:20" s="202" customFormat="1" x14ac:dyDescent="0.25">
      <c r="C122" s="196" t="s">
        <v>336</v>
      </c>
      <c r="D122" s="216">
        <v>0.3</v>
      </c>
      <c r="E122" s="216">
        <f t="shared" si="10"/>
        <v>0.24749999999999997</v>
      </c>
      <c r="F122" s="204">
        <f t="shared" si="11"/>
        <v>105.05050505050507</v>
      </c>
      <c r="G122" s="201">
        <f t="shared" si="9"/>
        <v>333.5</v>
      </c>
      <c r="H122" s="204">
        <v>11.5</v>
      </c>
      <c r="I122" s="216">
        <v>0.28100000000000003</v>
      </c>
      <c r="J122" s="196" t="s">
        <v>330</v>
      </c>
      <c r="K122" s="201">
        <v>16</v>
      </c>
      <c r="L122" s="196" t="s">
        <v>322</v>
      </c>
      <c r="M122" s="203"/>
      <c r="N122" s="203"/>
    </row>
    <row r="123" spans="3:20" s="202" customFormat="1" x14ac:dyDescent="0.25">
      <c r="C123" s="196" t="s">
        <v>332</v>
      </c>
      <c r="D123" s="216">
        <v>0.34</v>
      </c>
      <c r="E123" s="216">
        <f t="shared" si="10"/>
        <v>0.28050000000000003</v>
      </c>
      <c r="F123" s="204">
        <f t="shared" si="11"/>
        <v>92.691622103386806</v>
      </c>
      <c r="G123" s="201">
        <f t="shared" si="9"/>
        <v>275.5</v>
      </c>
      <c r="H123" s="204">
        <v>9.5</v>
      </c>
      <c r="I123" s="216">
        <f>9/32</f>
        <v>0.28125</v>
      </c>
      <c r="J123" s="196" t="s">
        <v>330</v>
      </c>
      <c r="K123" s="201">
        <v>16</v>
      </c>
      <c r="L123" s="196" t="s">
        <v>322</v>
      </c>
      <c r="M123" s="203"/>
      <c r="N123" s="203"/>
    </row>
    <row r="124" spans="3:20" s="202" customFormat="1" x14ac:dyDescent="0.25">
      <c r="C124" s="196" t="s">
        <v>337</v>
      </c>
      <c r="D124" s="216">
        <v>0.34</v>
      </c>
      <c r="E124" s="216">
        <f t="shared" si="10"/>
        <v>0.28050000000000003</v>
      </c>
      <c r="F124" s="204">
        <f t="shared" si="11"/>
        <v>92.691622103386806</v>
      </c>
      <c r="G124" s="201">
        <f t="shared" si="9"/>
        <v>298.70000000000005</v>
      </c>
      <c r="H124" s="204">
        <v>10.3</v>
      </c>
      <c r="I124" s="216">
        <v>0.28100000000000003</v>
      </c>
      <c r="J124" s="196" t="s">
        <v>330</v>
      </c>
      <c r="K124" s="201">
        <v>16</v>
      </c>
      <c r="L124" s="196" t="s">
        <v>322</v>
      </c>
      <c r="M124" s="203"/>
      <c r="N124" s="203"/>
    </row>
    <row r="125" spans="3:20" s="202" customFormat="1" x14ac:dyDescent="0.25">
      <c r="C125" s="196" t="s">
        <v>333</v>
      </c>
      <c r="D125" s="216">
        <v>0.4</v>
      </c>
      <c r="E125" s="216">
        <f t="shared" si="10"/>
        <v>0.33</v>
      </c>
      <c r="F125" s="204">
        <f t="shared" si="11"/>
        <v>78.787878787878782</v>
      </c>
      <c r="G125" s="201">
        <f t="shared" si="9"/>
        <v>261</v>
      </c>
      <c r="H125" s="204">
        <v>9</v>
      </c>
      <c r="I125" s="216">
        <v>0.26600000000000001</v>
      </c>
      <c r="J125" s="196" t="s">
        <v>330</v>
      </c>
      <c r="K125" s="201">
        <v>16</v>
      </c>
      <c r="L125" s="196" t="s">
        <v>322</v>
      </c>
      <c r="M125" s="203"/>
      <c r="N125" s="203"/>
    </row>
    <row r="126" spans="3:20" s="202" customFormat="1" x14ac:dyDescent="0.25">
      <c r="C126" s="196" t="s">
        <v>338</v>
      </c>
      <c r="D126" s="216">
        <v>0.4</v>
      </c>
      <c r="E126" s="216">
        <f t="shared" si="10"/>
        <v>0.33</v>
      </c>
      <c r="F126" s="204">
        <f t="shared" si="11"/>
        <v>78.787878787878782</v>
      </c>
      <c r="G126" s="201">
        <f t="shared" si="9"/>
        <v>284.20000000000005</v>
      </c>
      <c r="H126" s="204">
        <v>9.8000000000000007</v>
      </c>
      <c r="I126" s="216">
        <v>0.28100000000000003</v>
      </c>
      <c r="J126" s="196" t="s">
        <v>330</v>
      </c>
      <c r="K126" s="201">
        <v>16</v>
      </c>
      <c r="L126" s="196" t="s">
        <v>322</v>
      </c>
      <c r="M126" s="203"/>
      <c r="N126" s="203"/>
    </row>
    <row r="127" spans="3:20" s="202" customFormat="1" x14ac:dyDescent="0.25">
      <c r="C127" s="196" t="s">
        <v>334</v>
      </c>
      <c r="D127" s="216">
        <v>0.5</v>
      </c>
      <c r="E127" s="216">
        <f t="shared" si="10"/>
        <v>0.41249999999999998</v>
      </c>
      <c r="F127" s="204">
        <f t="shared" si="11"/>
        <v>63.030303030303031</v>
      </c>
      <c r="G127" s="201">
        <f t="shared" si="9"/>
        <v>234.89999999999998</v>
      </c>
      <c r="H127" s="204">
        <v>8.1</v>
      </c>
      <c r="I127" s="216">
        <v>0.26600000000000001</v>
      </c>
      <c r="J127" s="196" t="s">
        <v>330</v>
      </c>
      <c r="K127" s="201">
        <v>16</v>
      </c>
      <c r="L127" s="196" t="s">
        <v>322</v>
      </c>
      <c r="M127" s="203"/>
      <c r="N127" s="203"/>
    </row>
    <row r="128" spans="3:20" s="202" customFormat="1" x14ac:dyDescent="0.25">
      <c r="C128" s="196" t="s">
        <v>339</v>
      </c>
      <c r="D128" s="216">
        <v>0.5</v>
      </c>
      <c r="E128" s="216">
        <f t="shared" si="10"/>
        <v>0.41249999999999998</v>
      </c>
      <c r="F128" s="204">
        <f t="shared" si="11"/>
        <v>63.030303030303031</v>
      </c>
      <c r="G128" s="201">
        <f t="shared" si="9"/>
        <v>258.10000000000002</v>
      </c>
      <c r="H128" s="204">
        <v>8.9</v>
      </c>
      <c r="I128" s="216">
        <v>0.265625</v>
      </c>
      <c r="J128" s="196" t="s">
        <v>330</v>
      </c>
      <c r="K128" s="201">
        <v>16</v>
      </c>
      <c r="L128" s="196" t="s">
        <v>322</v>
      </c>
      <c r="M128" s="203"/>
      <c r="N128" s="203"/>
    </row>
    <row r="129" spans="3:14" s="202" customFormat="1" x14ac:dyDescent="0.25">
      <c r="C129" s="196" t="s">
        <v>335</v>
      </c>
      <c r="D129" s="216">
        <v>0.6</v>
      </c>
      <c r="E129" s="216">
        <f t="shared" si="10"/>
        <v>0.49499999999999994</v>
      </c>
      <c r="F129" s="204">
        <f t="shared" si="11"/>
        <v>52.525252525252533</v>
      </c>
      <c r="G129" s="201">
        <f t="shared" si="9"/>
        <v>208.8</v>
      </c>
      <c r="H129" s="204">
        <v>7.2</v>
      </c>
      <c r="I129" s="216">
        <f>17/64</f>
        <v>0.265625</v>
      </c>
      <c r="J129" s="196" t="s">
        <v>330</v>
      </c>
      <c r="K129" s="201">
        <v>16</v>
      </c>
      <c r="L129" s="196" t="s">
        <v>322</v>
      </c>
      <c r="M129" s="203"/>
      <c r="N129" s="203"/>
    </row>
    <row r="130" spans="3:14" s="202" customFormat="1" x14ac:dyDescent="0.25">
      <c r="C130" s="201" t="s">
        <v>171</v>
      </c>
      <c r="D130" s="216">
        <v>0.3</v>
      </c>
      <c r="E130" s="216">
        <f t="shared" si="10"/>
        <v>0.24749999999999997</v>
      </c>
      <c r="F130" s="204">
        <f t="shared" si="11"/>
        <v>105.05050505050507</v>
      </c>
      <c r="G130" s="201">
        <f t="shared" ref="G130:G161" si="12">H130*29</f>
        <v>348</v>
      </c>
      <c r="H130" s="204">
        <v>12</v>
      </c>
      <c r="I130" s="216">
        <v>0.28100000000000003</v>
      </c>
      <c r="J130" s="196" t="s">
        <v>330</v>
      </c>
      <c r="K130" s="201">
        <v>16</v>
      </c>
      <c r="L130" s="196" t="s">
        <v>322</v>
      </c>
      <c r="M130" s="203"/>
      <c r="N130" s="203"/>
    </row>
    <row r="131" spans="3:14" s="202" customFormat="1" x14ac:dyDescent="0.25">
      <c r="C131" s="201" t="s">
        <v>172</v>
      </c>
      <c r="D131" s="216">
        <v>0.34</v>
      </c>
      <c r="E131" s="216">
        <f t="shared" si="10"/>
        <v>0.28050000000000003</v>
      </c>
      <c r="F131" s="204">
        <f t="shared" si="11"/>
        <v>92.691622103386806</v>
      </c>
      <c r="G131" s="201">
        <f t="shared" si="12"/>
        <v>327.70000000000005</v>
      </c>
      <c r="H131" s="204">
        <v>11.3</v>
      </c>
      <c r="I131" s="216">
        <v>0.28100000000000003</v>
      </c>
      <c r="J131" s="196" t="s">
        <v>330</v>
      </c>
      <c r="K131" s="201">
        <v>16</v>
      </c>
      <c r="L131" s="196" t="s">
        <v>322</v>
      </c>
      <c r="M131" s="203"/>
      <c r="N131" s="203"/>
    </row>
    <row r="132" spans="3:14" s="202" customFormat="1" x14ac:dyDescent="0.25">
      <c r="C132" s="201" t="s">
        <v>173</v>
      </c>
      <c r="D132" s="216">
        <v>0.4</v>
      </c>
      <c r="E132" s="216">
        <f t="shared" si="10"/>
        <v>0.33</v>
      </c>
      <c r="F132" s="204">
        <f t="shared" si="11"/>
        <v>78.787878787878782</v>
      </c>
      <c r="G132" s="201">
        <f t="shared" si="12"/>
        <v>295.79999999999995</v>
      </c>
      <c r="H132" s="204">
        <v>10.199999999999999</v>
      </c>
      <c r="I132" s="216">
        <v>0.265625</v>
      </c>
      <c r="J132" s="196" t="s">
        <v>330</v>
      </c>
      <c r="K132" s="201">
        <v>16</v>
      </c>
      <c r="L132" s="196" t="s">
        <v>322</v>
      </c>
      <c r="M132" s="203"/>
      <c r="N132" s="203"/>
    </row>
    <row r="133" spans="3:14" s="202" customFormat="1" x14ac:dyDescent="0.25">
      <c r="C133" s="201" t="s">
        <v>174</v>
      </c>
      <c r="D133" s="216">
        <v>0.5</v>
      </c>
      <c r="E133" s="216">
        <f t="shared" si="10"/>
        <v>0.41249999999999998</v>
      </c>
      <c r="F133" s="204">
        <f t="shared" si="11"/>
        <v>63.030303030303031</v>
      </c>
      <c r="G133" s="201">
        <f t="shared" si="12"/>
        <v>263.89999999999998</v>
      </c>
      <c r="H133" s="204">
        <v>9.1</v>
      </c>
      <c r="I133" s="216">
        <v>0.26600000000000001</v>
      </c>
      <c r="J133" s="196" t="s">
        <v>330</v>
      </c>
      <c r="K133" s="201">
        <v>16</v>
      </c>
      <c r="L133" s="196" t="s">
        <v>322</v>
      </c>
      <c r="M133" s="203"/>
      <c r="N133" s="203"/>
    </row>
    <row r="134" spans="3:14" s="202" customFormat="1" x14ac:dyDescent="0.25">
      <c r="C134" s="201" t="s">
        <v>175</v>
      </c>
      <c r="D134" s="216">
        <v>0.25</v>
      </c>
      <c r="E134" s="216">
        <f t="shared" si="10"/>
        <v>0.20624999999999999</v>
      </c>
      <c r="F134" s="204">
        <f t="shared" si="11"/>
        <v>126.06060606060606</v>
      </c>
      <c r="G134" s="201">
        <f t="shared" si="12"/>
        <v>513.29999999999995</v>
      </c>
      <c r="H134" s="204">
        <v>17.7</v>
      </c>
      <c r="I134" s="216">
        <f>5/16</f>
        <v>0.3125</v>
      </c>
      <c r="J134" s="196" t="s">
        <v>330</v>
      </c>
      <c r="K134" s="201">
        <v>75</v>
      </c>
      <c r="L134" s="196" t="s">
        <v>322</v>
      </c>
      <c r="M134" s="203"/>
      <c r="N134" s="203"/>
    </row>
    <row r="135" spans="3:14" s="202" customFormat="1" x14ac:dyDescent="0.25">
      <c r="C135" s="201" t="s">
        <v>176</v>
      </c>
      <c r="D135" s="216">
        <v>0.3</v>
      </c>
      <c r="E135" s="216">
        <f t="shared" si="10"/>
        <v>0.24749999999999997</v>
      </c>
      <c r="F135" s="204">
        <f t="shared" si="11"/>
        <v>105.05050505050507</v>
      </c>
      <c r="G135" s="201">
        <f t="shared" si="12"/>
        <v>464</v>
      </c>
      <c r="H135" s="204">
        <v>16</v>
      </c>
      <c r="I135" s="216">
        <f>9/32</f>
        <v>0.28125</v>
      </c>
      <c r="J135" s="196" t="s">
        <v>330</v>
      </c>
      <c r="K135" s="201">
        <v>75</v>
      </c>
      <c r="L135" s="196" t="s">
        <v>322</v>
      </c>
      <c r="M135" s="203"/>
      <c r="N135" s="203"/>
    </row>
    <row r="136" spans="3:14" s="202" customFormat="1" x14ac:dyDescent="0.25">
      <c r="C136" s="196" t="s">
        <v>361</v>
      </c>
      <c r="D136" s="216">
        <v>0.7</v>
      </c>
      <c r="E136" s="216">
        <f t="shared" si="10"/>
        <v>0.5774999999999999</v>
      </c>
      <c r="F136" s="204">
        <f t="shared" si="11"/>
        <v>45.021645021645028</v>
      </c>
      <c r="G136" s="201">
        <f t="shared" si="12"/>
        <v>185.60000000000002</v>
      </c>
      <c r="H136" s="204">
        <v>6.4</v>
      </c>
      <c r="I136" s="216">
        <v>0.265625</v>
      </c>
      <c r="J136" s="196" t="s">
        <v>330</v>
      </c>
      <c r="K136" s="201">
        <v>16</v>
      </c>
      <c r="L136" s="196" t="s">
        <v>322</v>
      </c>
      <c r="M136" s="203"/>
      <c r="N136" s="203"/>
    </row>
    <row r="137" spans="3:14" s="202" customFormat="1" x14ac:dyDescent="0.25">
      <c r="C137" s="201" t="s">
        <v>143</v>
      </c>
      <c r="D137" s="216">
        <v>1</v>
      </c>
      <c r="E137" s="216">
        <f t="shared" si="10"/>
        <v>0.82499999999999996</v>
      </c>
      <c r="F137" s="204">
        <f t="shared" si="11"/>
        <v>31.515151515151516</v>
      </c>
      <c r="G137" s="201">
        <f t="shared" si="12"/>
        <v>145</v>
      </c>
      <c r="H137" s="204">
        <v>5</v>
      </c>
      <c r="I137" s="216">
        <v>0.215</v>
      </c>
      <c r="J137" s="201"/>
      <c r="K137" s="201"/>
      <c r="L137" s="201"/>
      <c r="M137" s="203"/>
      <c r="N137" s="203"/>
    </row>
    <row r="138" spans="3:14" s="202" customFormat="1" x14ac:dyDescent="0.25">
      <c r="C138" s="201" t="s">
        <v>137</v>
      </c>
      <c r="D138" s="216">
        <v>1.1499999999999999</v>
      </c>
      <c r="E138" s="216">
        <f t="shared" si="10"/>
        <v>0.94874999999999987</v>
      </c>
      <c r="F138" s="204">
        <f t="shared" si="11"/>
        <v>27.404479578392625</v>
      </c>
      <c r="G138" s="201">
        <f t="shared" si="12"/>
        <v>145</v>
      </c>
      <c r="H138" s="204">
        <v>5</v>
      </c>
      <c r="I138" s="216">
        <v>0.20499999999999999</v>
      </c>
      <c r="J138" s="201"/>
      <c r="K138" s="201"/>
      <c r="L138" s="201"/>
      <c r="M138" s="203"/>
      <c r="N138" s="203"/>
    </row>
    <row r="139" spans="3:14" s="202" customFormat="1" x14ac:dyDescent="0.25">
      <c r="C139" s="201" t="s">
        <v>136</v>
      </c>
      <c r="D139" s="216">
        <v>0.6</v>
      </c>
      <c r="E139" s="216">
        <f t="shared" si="10"/>
        <v>0.49499999999999994</v>
      </c>
      <c r="F139" s="204">
        <f t="shared" si="11"/>
        <v>52.525252525252533</v>
      </c>
      <c r="G139" s="201">
        <f t="shared" si="12"/>
        <v>200.10000000000002</v>
      </c>
      <c r="H139" s="204">
        <v>6.9</v>
      </c>
      <c r="I139" s="216">
        <v>0.23499999999999999</v>
      </c>
      <c r="J139" s="201"/>
      <c r="K139" s="201"/>
      <c r="L139" s="201"/>
      <c r="M139" s="203"/>
      <c r="N139" s="203"/>
    </row>
    <row r="140" spans="3:14" s="202" customFormat="1" x14ac:dyDescent="0.25">
      <c r="C140" s="201" t="s">
        <v>139</v>
      </c>
      <c r="D140" s="216">
        <v>0.66</v>
      </c>
      <c r="E140" s="216">
        <f t="shared" si="10"/>
        <v>0.54449999999999998</v>
      </c>
      <c r="F140" s="204">
        <f t="shared" si="11"/>
        <v>47.750229568411385</v>
      </c>
      <c r="G140" s="201">
        <f t="shared" si="12"/>
        <v>191.39999999999998</v>
      </c>
      <c r="H140" s="204">
        <v>6.6</v>
      </c>
      <c r="I140" s="216">
        <v>0.23</v>
      </c>
      <c r="J140" s="201"/>
      <c r="K140" s="201"/>
      <c r="L140" s="201"/>
      <c r="M140" s="203"/>
      <c r="N140" s="203"/>
    </row>
    <row r="141" spans="3:14" s="202" customFormat="1" x14ac:dyDescent="0.25">
      <c r="C141" s="201" t="s">
        <v>140</v>
      </c>
      <c r="D141" s="216">
        <v>0.73</v>
      </c>
      <c r="E141" s="216">
        <f t="shared" si="10"/>
        <v>0.60224999999999995</v>
      </c>
      <c r="F141" s="204">
        <f t="shared" si="11"/>
        <v>43.171440431714409</v>
      </c>
      <c r="G141" s="201">
        <f t="shared" si="12"/>
        <v>174</v>
      </c>
      <c r="H141" s="204">
        <v>6</v>
      </c>
      <c r="I141" s="216">
        <v>0.22700000000000001</v>
      </c>
      <c r="J141" s="201"/>
      <c r="K141" s="201"/>
      <c r="L141" s="201"/>
      <c r="M141" s="203"/>
      <c r="N141" s="203"/>
    </row>
    <row r="142" spans="3:14" s="202" customFormat="1" x14ac:dyDescent="0.25">
      <c r="C142" s="201" t="s">
        <v>141</v>
      </c>
      <c r="D142" s="216">
        <v>0.81</v>
      </c>
      <c r="E142" s="216">
        <f t="shared" si="10"/>
        <v>0.66825000000000001</v>
      </c>
      <c r="F142" s="204">
        <f t="shared" si="11"/>
        <v>38.907594463150019</v>
      </c>
      <c r="G142" s="201">
        <f t="shared" si="12"/>
        <v>168.2</v>
      </c>
      <c r="H142" s="204">
        <v>5.8</v>
      </c>
      <c r="I142" s="216">
        <v>0.224</v>
      </c>
      <c r="J142" s="201"/>
      <c r="K142" s="201"/>
      <c r="L142" s="201"/>
      <c r="M142" s="203"/>
      <c r="N142" s="203"/>
    </row>
    <row r="143" spans="3:14" s="202" customFormat="1" x14ac:dyDescent="0.25">
      <c r="C143" s="201" t="s">
        <v>142</v>
      </c>
      <c r="D143" s="216">
        <v>0.9</v>
      </c>
      <c r="E143" s="216">
        <f t="shared" si="10"/>
        <v>0.74249999999999994</v>
      </c>
      <c r="F143" s="204">
        <f t="shared" si="11"/>
        <v>35.016835016835017</v>
      </c>
      <c r="G143" s="201">
        <f t="shared" si="12"/>
        <v>153.69999999999999</v>
      </c>
      <c r="H143" s="204">
        <v>5.3</v>
      </c>
      <c r="I143" s="216">
        <v>0.22</v>
      </c>
      <c r="J143" s="201"/>
      <c r="K143" s="201"/>
      <c r="L143" s="201"/>
      <c r="M143" s="203"/>
      <c r="N143" s="203"/>
    </row>
    <row r="144" spans="3:14" s="202" customFormat="1" x14ac:dyDescent="0.25">
      <c r="C144" s="201" t="s">
        <v>132</v>
      </c>
      <c r="D144" s="216">
        <v>0.34</v>
      </c>
      <c r="E144" s="216">
        <f t="shared" si="10"/>
        <v>0.28050000000000003</v>
      </c>
      <c r="F144" s="204">
        <f t="shared" si="11"/>
        <v>92.691622103386806</v>
      </c>
      <c r="G144" s="201">
        <f t="shared" si="12"/>
        <v>237.79999999999998</v>
      </c>
      <c r="H144" s="204">
        <v>8.1999999999999993</v>
      </c>
      <c r="I144" s="216">
        <f>5/16</f>
        <v>0.3125</v>
      </c>
      <c r="J144" s="201"/>
      <c r="K144" s="201"/>
      <c r="L144" s="201"/>
      <c r="M144" s="203"/>
      <c r="N144" s="203"/>
    </row>
    <row r="145" spans="3:14" s="202" customFormat="1" x14ac:dyDescent="0.25">
      <c r="C145" s="201" t="s">
        <v>133</v>
      </c>
      <c r="D145" s="216">
        <v>0.4</v>
      </c>
      <c r="E145" s="216">
        <f t="shared" si="10"/>
        <v>0.33</v>
      </c>
      <c r="F145" s="204">
        <f t="shared" si="11"/>
        <v>78.787878787878782</v>
      </c>
      <c r="G145" s="201">
        <f t="shared" si="12"/>
        <v>214.60000000000002</v>
      </c>
      <c r="H145" s="204">
        <v>7.4</v>
      </c>
      <c r="I145" s="216">
        <f>9/32</f>
        <v>0.28125</v>
      </c>
      <c r="J145" s="201"/>
      <c r="K145" s="201"/>
      <c r="L145" s="201"/>
      <c r="M145" s="203"/>
      <c r="N145" s="203"/>
    </row>
    <row r="146" spans="3:14" s="202" customFormat="1" x14ac:dyDescent="0.25">
      <c r="C146" s="201" t="s">
        <v>134</v>
      </c>
      <c r="D146" s="216">
        <v>0.5</v>
      </c>
      <c r="E146" s="216">
        <f t="shared" si="10"/>
        <v>0.41249999999999998</v>
      </c>
      <c r="F146" s="204">
        <f t="shared" si="11"/>
        <v>63.030303030303031</v>
      </c>
      <c r="G146" s="201">
        <f t="shared" si="12"/>
        <v>188.5</v>
      </c>
      <c r="H146" s="204">
        <v>6.5</v>
      </c>
      <c r="I146" s="216">
        <f>9/32</f>
        <v>0.28125</v>
      </c>
      <c r="J146" s="201"/>
      <c r="K146" s="201"/>
      <c r="L146" s="201"/>
      <c r="M146" s="203"/>
      <c r="N146" s="203"/>
    </row>
    <row r="147" spans="3:14" s="202" customFormat="1" x14ac:dyDescent="0.25">
      <c r="C147" s="201" t="s">
        <v>128</v>
      </c>
      <c r="D147" s="216">
        <v>0.3</v>
      </c>
      <c r="E147" s="216">
        <f t="shared" si="10"/>
        <v>0.24749999999999997</v>
      </c>
      <c r="F147" s="204">
        <f t="shared" si="11"/>
        <v>105.05050505050507</v>
      </c>
      <c r="G147" s="201">
        <f t="shared" si="12"/>
        <v>275.5</v>
      </c>
      <c r="H147" s="204">
        <v>9.5</v>
      </c>
      <c r="I147" s="216">
        <v>0.313</v>
      </c>
      <c r="J147" s="196" t="s">
        <v>350</v>
      </c>
      <c r="K147" s="201">
        <v>21</v>
      </c>
      <c r="L147" s="196" t="s">
        <v>351</v>
      </c>
      <c r="M147" s="203"/>
      <c r="N147" s="203"/>
    </row>
    <row r="148" spans="3:14" s="202" customFormat="1" x14ac:dyDescent="0.25">
      <c r="C148" s="201" t="s">
        <v>129</v>
      </c>
      <c r="D148" s="216">
        <v>0.34</v>
      </c>
      <c r="E148" s="216">
        <f t="shared" si="10"/>
        <v>0.28050000000000003</v>
      </c>
      <c r="F148" s="204">
        <f t="shared" si="11"/>
        <v>92.691622103386806</v>
      </c>
      <c r="G148" s="201">
        <f t="shared" si="12"/>
        <v>269.70000000000005</v>
      </c>
      <c r="H148" s="204">
        <v>9.3000000000000007</v>
      </c>
      <c r="I148" s="216">
        <v>0.3125</v>
      </c>
      <c r="J148" s="196" t="s">
        <v>350</v>
      </c>
      <c r="K148" s="201">
        <v>21</v>
      </c>
      <c r="L148" s="196" t="s">
        <v>351</v>
      </c>
      <c r="M148" s="203"/>
      <c r="N148" s="203"/>
    </row>
    <row r="149" spans="3:14" s="202" customFormat="1" x14ac:dyDescent="0.25">
      <c r="C149" s="201" t="s">
        <v>130</v>
      </c>
      <c r="D149" s="216">
        <v>0.4</v>
      </c>
      <c r="E149" s="216">
        <f t="shared" si="10"/>
        <v>0.33</v>
      </c>
      <c r="F149" s="204">
        <f t="shared" si="11"/>
        <v>78.787878787878782</v>
      </c>
      <c r="G149" s="201">
        <f t="shared" si="12"/>
        <v>243.60000000000002</v>
      </c>
      <c r="H149" s="204">
        <v>8.4</v>
      </c>
      <c r="I149" s="216">
        <v>0.28100000000000003</v>
      </c>
      <c r="J149" s="196" t="s">
        <v>350</v>
      </c>
      <c r="K149" s="201">
        <v>21</v>
      </c>
      <c r="L149" s="196" t="s">
        <v>351</v>
      </c>
      <c r="M149" s="203"/>
      <c r="N149" s="203"/>
    </row>
    <row r="150" spans="3:14" s="202" customFormat="1" ht="11.25" customHeight="1" x14ac:dyDescent="0.25">
      <c r="C150" s="201" t="s">
        <v>131</v>
      </c>
      <c r="D150" s="216">
        <v>0.5</v>
      </c>
      <c r="E150" s="216">
        <f t="shared" si="10"/>
        <v>0.41249999999999998</v>
      </c>
      <c r="F150" s="204">
        <f t="shared" si="11"/>
        <v>63.030303030303031</v>
      </c>
      <c r="G150" s="201">
        <f t="shared" si="12"/>
        <v>211.7</v>
      </c>
      <c r="H150" s="204">
        <v>7.3</v>
      </c>
      <c r="I150" s="216">
        <v>0.28125</v>
      </c>
      <c r="J150" s="196" t="s">
        <v>350</v>
      </c>
      <c r="K150" s="201">
        <v>21</v>
      </c>
      <c r="L150" s="196" t="s">
        <v>351</v>
      </c>
      <c r="M150" s="203"/>
      <c r="N150" s="203"/>
    </row>
    <row r="151" spans="3:14" s="202" customFormat="1" x14ac:dyDescent="0.25">
      <c r="C151" s="201" t="s">
        <v>112</v>
      </c>
      <c r="D151" s="216">
        <v>0.41</v>
      </c>
      <c r="E151" s="216">
        <f t="shared" ref="E151:E182" si="13">D151*0.825</f>
        <v>0.33824999999999994</v>
      </c>
      <c r="F151" s="204">
        <f t="shared" ref="F151:F182" si="14">26/E151</f>
        <v>76.86622320768663</v>
      </c>
      <c r="G151" s="201">
        <f t="shared" si="12"/>
        <v>220.39999999999998</v>
      </c>
      <c r="H151" s="204">
        <v>7.6</v>
      </c>
      <c r="I151" s="216">
        <f>5/16</f>
        <v>0.3125</v>
      </c>
      <c r="J151" s="201"/>
      <c r="K151" s="201"/>
      <c r="L151" s="201"/>
      <c r="M151" s="203"/>
      <c r="N151" s="203"/>
    </row>
    <row r="152" spans="3:14" s="202" customFormat="1" x14ac:dyDescent="0.25">
      <c r="C152" s="201" t="s">
        <v>113</v>
      </c>
      <c r="D152" s="216">
        <v>0.46</v>
      </c>
      <c r="E152" s="216">
        <f t="shared" si="13"/>
        <v>0.3795</v>
      </c>
      <c r="F152" s="204">
        <f t="shared" si="14"/>
        <v>68.511198945981548</v>
      </c>
      <c r="G152" s="201">
        <f t="shared" si="12"/>
        <v>211.7</v>
      </c>
      <c r="H152" s="204">
        <v>7.3</v>
      </c>
      <c r="I152" s="216">
        <f>5/16</f>
        <v>0.3125</v>
      </c>
      <c r="J152" s="201"/>
      <c r="K152" s="201"/>
      <c r="L152" s="201"/>
      <c r="M152" s="203"/>
      <c r="N152" s="203"/>
    </row>
    <row r="153" spans="3:14" s="202" customFormat="1" x14ac:dyDescent="0.25">
      <c r="C153" s="201" t="s">
        <v>114</v>
      </c>
      <c r="D153" s="216">
        <v>0.52</v>
      </c>
      <c r="E153" s="216">
        <f t="shared" si="13"/>
        <v>0.42899999999999999</v>
      </c>
      <c r="F153" s="204">
        <f t="shared" si="14"/>
        <v>60.606060606060609</v>
      </c>
      <c r="G153" s="201">
        <f t="shared" si="12"/>
        <v>205.89999999999998</v>
      </c>
      <c r="H153" s="204">
        <v>7.1</v>
      </c>
      <c r="I153" s="216">
        <f>9/32</f>
        <v>0.28125</v>
      </c>
      <c r="J153" s="201"/>
      <c r="K153" s="201"/>
      <c r="L153" s="201"/>
      <c r="M153" s="203"/>
    </row>
    <row r="154" spans="3:14" s="202" customFormat="1" x14ac:dyDescent="0.25">
      <c r="C154" s="201" t="s">
        <v>115</v>
      </c>
      <c r="D154" s="216">
        <v>0.6</v>
      </c>
      <c r="E154" s="216">
        <f t="shared" si="13"/>
        <v>0.49499999999999994</v>
      </c>
      <c r="F154" s="204">
        <f t="shared" si="14"/>
        <v>52.525252525252533</v>
      </c>
      <c r="G154" s="201">
        <f t="shared" si="12"/>
        <v>200.10000000000002</v>
      </c>
      <c r="H154" s="204">
        <v>6.9</v>
      </c>
      <c r="I154" s="216">
        <f>9/32</f>
        <v>0.28125</v>
      </c>
      <c r="J154" s="201"/>
      <c r="K154" s="201"/>
      <c r="L154" s="201"/>
      <c r="M154" s="201"/>
    </row>
    <row r="155" spans="3:14" s="202" customFormat="1" x14ac:dyDescent="0.25">
      <c r="C155" s="201" t="s">
        <v>116</v>
      </c>
      <c r="D155" s="216">
        <v>0.69</v>
      </c>
      <c r="E155" s="216">
        <f t="shared" si="13"/>
        <v>0.56924999999999992</v>
      </c>
      <c r="F155" s="204">
        <f t="shared" si="14"/>
        <v>45.674132630654377</v>
      </c>
      <c r="G155" s="201">
        <f t="shared" si="12"/>
        <v>182.7</v>
      </c>
      <c r="H155" s="204">
        <v>6.3</v>
      </c>
      <c r="I155" s="216">
        <f>17/64</f>
        <v>0.265625</v>
      </c>
      <c r="J155" s="201"/>
      <c r="K155" s="201"/>
      <c r="L155" s="201"/>
      <c r="M155" s="201"/>
    </row>
    <row r="156" spans="3:14" s="202" customFormat="1" x14ac:dyDescent="0.25">
      <c r="C156" s="201" t="s">
        <v>117</v>
      </c>
      <c r="D156" s="216">
        <v>0.78</v>
      </c>
      <c r="E156" s="216">
        <f t="shared" si="13"/>
        <v>0.64349999999999996</v>
      </c>
      <c r="F156" s="204">
        <f t="shared" si="14"/>
        <v>40.404040404040408</v>
      </c>
      <c r="G156" s="201">
        <f t="shared" si="12"/>
        <v>182.7</v>
      </c>
      <c r="H156" s="204">
        <v>6.3</v>
      </c>
      <c r="I156" s="216">
        <f>17/64</f>
        <v>0.265625</v>
      </c>
      <c r="J156" s="201"/>
      <c r="K156" s="201"/>
      <c r="L156" s="201"/>
      <c r="M156" s="201"/>
    </row>
    <row r="157" spans="3:14" s="202" customFormat="1" x14ac:dyDescent="0.25">
      <c r="C157" s="201" t="s">
        <v>118</v>
      </c>
      <c r="D157" s="216">
        <v>0.9</v>
      </c>
      <c r="E157" s="216">
        <f t="shared" si="13"/>
        <v>0.74249999999999994</v>
      </c>
      <c r="F157" s="204">
        <f t="shared" si="14"/>
        <v>35.016835016835017</v>
      </c>
      <c r="G157" s="201">
        <f t="shared" si="12"/>
        <v>168.2</v>
      </c>
      <c r="H157" s="204">
        <v>5.8</v>
      </c>
      <c r="I157" s="216">
        <f>17/64</f>
        <v>0.265625</v>
      </c>
      <c r="J157" s="201"/>
      <c r="K157" s="201"/>
      <c r="L157" s="201"/>
      <c r="M157" s="201"/>
    </row>
    <row r="158" spans="3:14" s="202" customFormat="1" x14ac:dyDescent="0.25">
      <c r="C158" s="196" t="s">
        <v>340</v>
      </c>
      <c r="D158" s="216">
        <v>0.3</v>
      </c>
      <c r="E158" s="216">
        <f t="shared" si="13"/>
        <v>0.24749999999999997</v>
      </c>
      <c r="F158" s="204">
        <f t="shared" si="14"/>
        <v>105.05050505050507</v>
      </c>
      <c r="G158" s="201">
        <f t="shared" si="12"/>
        <v>290</v>
      </c>
      <c r="H158" s="204">
        <v>10</v>
      </c>
      <c r="I158" s="216">
        <v>0.30499999999999999</v>
      </c>
      <c r="J158" s="196" t="s">
        <v>348</v>
      </c>
      <c r="K158" s="201">
        <v>23</v>
      </c>
      <c r="L158" s="196" t="s">
        <v>349</v>
      </c>
      <c r="M158" s="201"/>
    </row>
    <row r="159" spans="3:14" s="202" customFormat="1" x14ac:dyDescent="0.25">
      <c r="C159" s="196" t="s">
        <v>345</v>
      </c>
      <c r="D159" s="216">
        <v>0.3</v>
      </c>
      <c r="E159" s="216">
        <f t="shared" si="13"/>
        <v>0.24749999999999997</v>
      </c>
      <c r="F159" s="204">
        <f t="shared" si="14"/>
        <v>105.05050505050507</v>
      </c>
      <c r="G159" s="201">
        <f t="shared" si="12"/>
        <v>310.29999999999995</v>
      </c>
      <c r="H159" s="204">
        <v>10.7</v>
      </c>
      <c r="I159" s="216">
        <v>0.30499999999999999</v>
      </c>
      <c r="J159" s="196" t="s">
        <v>348</v>
      </c>
      <c r="K159" s="201">
        <v>23</v>
      </c>
      <c r="L159" s="196" t="s">
        <v>349</v>
      </c>
      <c r="M159" s="201"/>
    </row>
    <row r="160" spans="3:14" s="202" customFormat="1" x14ac:dyDescent="0.25">
      <c r="C160" s="196" t="s">
        <v>341</v>
      </c>
      <c r="D160" s="216">
        <v>0.34</v>
      </c>
      <c r="E160" s="216">
        <f t="shared" si="13"/>
        <v>0.28050000000000003</v>
      </c>
      <c r="F160" s="204">
        <f t="shared" si="14"/>
        <v>92.691622103386806</v>
      </c>
      <c r="G160" s="201">
        <f t="shared" si="12"/>
        <v>275.5</v>
      </c>
      <c r="H160" s="204">
        <v>9.5</v>
      </c>
      <c r="I160" s="216">
        <v>0.29799999999999999</v>
      </c>
      <c r="J160" s="196" t="s">
        <v>348</v>
      </c>
      <c r="K160" s="201">
        <v>23</v>
      </c>
      <c r="L160" s="196" t="s">
        <v>349</v>
      </c>
      <c r="M160" s="201"/>
    </row>
    <row r="161" spans="3:13" s="202" customFormat="1" x14ac:dyDescent="0.25">
      <c r="C161" s="196" t="s">
        <v>346</v>
      </c>
      <c r="D161" s="216">
        <v>0.34</v>
      </c>
      <c r="E161" s="216">
        <f t="shared" si="13"/>
        <v>0.28050000000000003</v>
      </c>
      <c r="F161" s="204">
        <f t="shared" si="14"/>
        <v>92.691622103386806</v>
      </c>
      <c r="G161" s="201">
        <f t="shared" si="12"/>
        <v>295.79999999999995</v>
      </c>
      <c r="H161" s="204">
        <v>10.199999999999999</v>
      </c>
      <c r="I161" s="216">
        <v>0.29799999999999999</v>
      </c>
      <c r="J161" s="196" t="s">
        <v>348</v>
      </c>
      <c r="K161" s="201">
        <v>23</v>
      </c>
      <c r="L161" s="196" t="s">
        <v>349</v>
      </c>
      <c r="M161" s="201"/>
    </row>
    <row r="162" spans="3:13" s="202" customFormat="1" x14ac:dyDescent="0.25">
      <c r="C162" s="196" t="s">
        <v>342</v>
      </c>
      <c r="D162" s="216">
        <v>0.4</v>
      </c>
      <c r="E162" s="216">
        <f t="shared" si="13"/>
        <v>0.33</v>
      </c>
      <c r="F162" s="204">
        <f t="shared" si="14"/>
        <v>78.787878787878782</v>
      </c>
      <c r="G162" s="201">
        <f t="shared" ref="G162:G171" si="15">H162*29</f>
        <v>249.39999999999998</v>
      </c>
      <c r="H162" s="204">
        <v>8.6</v>
      </c>
      <c r="I162" s="216">
        <v>0.28999999999999998</v>
      </c>
      <c r="J162" s="196" t="s">
        <v>327</v>
      </c>
      <c r="K162" s="201">
        <v>23</v>
      </c>
      <c r="L162" s="196" t="s">
        <v>349</v>
      </c>
      <c r="M162" s="201"/>
    </row>
    <row r="163" spans="3:13" s="202" customFormat="1" x14ac:dyDescent="0.25">
      <c r="C163" s="196" t="s">
        <v>360</v>
      </c>
      <c r="D163" s="216">
        <v>0.4</v>
      </c>
      <c r="E163" s="216">
        <f t="shared" si="13"/>
        <v>0.33</v>
      </c>
      <c r="F163" s="204">
        <f t="shared" si="14"/>
        <v>78.787878787878782</v>
      </c>
      <c r="G163" s="201">
        <f t="shared" si="15"/>
        <v>269.70000000000005</v>
      </c>
      <c r="H163" s="204">
        <v>9.3000000000000007</v>
      </c>
      <c r="I163" s="216">
        <v>0.28999999999999998</v>
      </c>
      <c r="J163" s="196" t="s">
        <v>327</v>
      </c>
      <c r="K163" s="201">
        <v>23</v>
      </c>
      <c r="L163" s="196" t="s">
        <v>349</v>
      </c>
      <c r="M163" s="201"/>
    </row>
    <row r="164" spans="3:13" s="202" customFormat="1" x14ac:dyDescent="0.25">
      <c r="C164" s="196" t="s">
        <v>343</v>
      </c>
      <c r="D164" s="216">
        <v>0.5</v>
      </c>
      <c r="E164" s="216">
        <f t="shared" si="13"/>
        <v>0.41249999999999998</v>
      </c>
      <c r="F164" s="204">
        <f t="shared" si="14"/>
        <v>63.030303030303031</v>
      </c>
      <c r="G164" s="201">
        <f t="shared" si="15"/>
        <v>211.7</v>
      </c>
      <c r="H164" s="204">
        <v>7.3</v>
      </c>
      <c r="I164" s="216">
        <v>0.28100000000000003</v>
      </c>
      <c r="J164" s="196" t="s">
        <v>327</v>
      </c>
      <c r="K164" s="201">
        <v>23</v>
      </c>
      <c r="L164" s="196" t="s">
        <v>349</v>
      </c>
      <c r="M164" s="201"/>
    </row>
    <row r="165" spans="3:13" s="202" customFormat="1" x14ac:dyDescent="0.25">
      <c r="C165" s="196" t="s">
        <v>347</v>
      </c>
      <c r="D165" s="216">
        <v>0.5</v>
      </c>
      <c r="E165" s="216">
        <f t="shared" si="13"/>
        <v>0.41249999999999998</v>
      </c>
      <c r="F165" s="204">
        <f t="shared" si="14"/>
        <v>63.030303030303031</v>
      </c>
      <c r="G165" s="201">
        <f t="shared" si="15"/>
        <v>232</v>
      </c>
      <c r="H165" s="204">
        <v>8</v>
      </c>
      <c r="I165" s="216">
        <v>0.28100000000000003</v>
      </c>
      <c r="J165" s="196" t="s">
        <v>327</v>
      </c>
      <c r="K165" s="201">
        <v>23</v>
      </c>
      <c r="L165" s="196" t="s">
        <v>349</v>
      </c>
      <c r="M165" s="201"/>
    </row>
    <row r="166" spans="3:13" s="202" customFormat="1" x14ac:dyDescent="0.25">
      <c r="C166" s="196" t="s">
        <v>344</v>
      </c>
      <c r="D166" s="216">
        <v>0.6</v>
      </c>
      <c r="E166" s="216">
        <f t="shared" si="13"/>
        <v>0.49499999999999994</v>
      </c>
      <c r="F166" s="204">
        <f t="shared" si="14"/>
        <v>52.525252525252533</v>
      </c>
      <c r="G166" s="201">
        <f t="shared" si="15"/>
        <v>185.60000000000002</v>
      </c>
      <c r="H166" s="204">
        <v>6.4</v>
      </c>
      <c r="I166" s="216">
        <v>0.27500000000000002</v>
      </c>
      <c r="J166" s="196" t="s">
        <v>327</v>
      </c>
      <c r="K166" s="201">
        <v>23</v>
      </c>
      <c r="L166" s="196" t="s">
        <v>349</v>
      </c>
      <c r="M166" s="201"/>
    </row>
    <row r="167" spans="3:13" s="202" customFormat="1" x14ac:dyDescent="0.25">
      <c r="C167" s="196" t="s">
        <v>362</v>
      </c>
      <c r="D167" s="216">
        <v>0.65</v>
      </c>
      <c r="E167" s="216">
        <f t="shared" si="13"/>
        <v>0.53625</v>
      </c>
      <c r="F167" s="204">
        <f t="shared" si="14"/>
        <v>48.484848484848484</v>
      </c>
      <c r="G167" s="201">
        <f t="shared" si="15"/>
        <v>179.8</v>
      </c>
      <c r="H167" s="204">
        <v>6.2</v>
      </c>
      <c r="I167" s="216">
        <v>0.27500000000000002</v>
      </c>
      <c r="J167" s="196" t="s">
        <v>327</v>
      </c>
      <c r="K167" s="201">
        <v>23</v>
      </c>
      <c r="L167" s="196" t="s">
        <v>349</v>
      </c>
      <c r="M167" s="201"/>
    </row>
    <row r="168" spans="3:13" s="202" customFormat="1" x14ac:dyDescent="0.25">
      <c r="C168" s="196" t="s">
        <v>353</v>
      </c>
      <c r="D168" s="216">
        <v>0.3</v>
      </c>
      <c r="E168" s="216">
        <f t="shared" si="13"/>
        <v>0.24749999999999997</v>
      </c>
      <c r="F168" s="204">
        <f t="shared" si="14"/>
        <v>105.05050505050507</v>
      </c>
      <c r="G168" s="201">
        <f t="shared" si="15"/>
        <v>290</v>
      </c>
      <c r="H168" s="204">
        <v>10</v>
      </c>
      <c r="I168" s="216">
        <v>0.28125</v>
      </c>
      <c r="J168" s="196" t="s">
        <v>352</v>
      </c>
      <c r="K168" s="201">
        <v>18</v>
      </c>
      <c r="L168" s="196" t="s">
        <v>349</v>
      </c>
      <c r="M168" s="201"/>
    </row>
    <row r="169" spans="3:13" s="202" customFormat="1" x14ac:dyDescent="0.25">
      <c r="C169" s="196" t="s">
        <v>354</v>
      </c>
      <c r="D169" s="216">
        <v>0.34</v>
      </c>
      <c r="E169" s="216">
        <f t="shared" si="13"/>
        <v>0.28050000000000003</v>
      </c>
      <c r="F169" s="204">
        <f t="shared" si="14"/>
        <v>92.691622103386806</v>
      </c>
      <c r="G169" s="201">
        <f t="shared" si="15"/>
        <v>275.5</v>
      </c>
      <c r="H169" s="204">
        <v>9.5</v>
      </c>
      <c r="I169" s="216">
        <v>0.28125</v>
      </c>
      <c r="J169" s="196" t="s">
        <v>352</v>
      </c>
      <c r="K169" s="201">
        <v>18</v>
      </c>
      <c r="L169" s="196" t="s">
        <v>349</v>
      </c>
      <c r="M169" s="201"/>
    </row>
    <row r="170" spans="3:13" s="202" customFormat="1" x14ac:dyDescent="0.25">
      <c r="C170" s="196" t="s">
        <v>355</v>
      </c>
      <c r="D170" s="216">
        <v>0.4</v>
      </c>
      <c r="E170" s="216">
        <f t="shared" si="13"/>
        <v>0.33</v>
      </c>
      <c r="F170" s="204">
        <f t="shared" si="14"/>
        <v>78.787878787878782</v>
      </c>
      <c r="G170" s="201">
        <f t="shared" si="15"/>
        <v>249.39999999999998</v>
      </c>
      <c r="H170" s="204">
        <v>8.6</v>
      </c>
      <c r="I170" s="216">
        <v>0.28125</v>
      </c>
      <c r="J170" s="196" t="s">
        <v>352</v>
      </c>
      <c r="K170" s="201">
        <v>18</v>
      </c>
      <c r="L170" s="196" t="s">
        <v>349</v>
      </c>
      <c r="M170" s="201"/>
    </row>
    <row r="171" spans="3:13" s="202" customFormat="1" x14ac:dyDescent="0.25">
      <c r="C171" s="196" t="s">
        <v>356</v>
      </c>
      <c r="D171" s="216">
        <v>0.5</v>
      </c>
      <c r="E171" s="216">
        <f t="shared" si="13"/>
        <v>0.41249999999999998</v>
      </c>
      <c r="F171" s="204">
        <f t="shared" si="14"/>
        <v>63.030303030303031</v>
      </c>
      <c r="G171" s="201">
        <f t="shared" si="15"/>
        <v>211.7</v>
      </c>
      <c r="H171" s="204">
        <v>7.3</v>
      </c>
      <c r="I171" s="216">
        <v>0.28125</v>
      </c>
      <c r="J171" s="196" t="s">
        <v>352</v>
      </c>
      <c r="K171" s="201">
        <v>18</v>
      </c>
      <c r="L171" s="196" t="s">
        <v>349</v>
      </c>
      <c r="M171" s="201"/>
    </row>
    <row r="172" spans="3:13" s="202" customFormat="1" x14ac:dyDescent="0.25">
      <c r="C172" s="201" t="s">
        <v>78</v>
      </c>
      <c r="D172" s="216">
        <v>0.3</v>
      </c>
      <c r="E172" s="216">
        <f t="shared" si="13"/>
        <v>0.24749999999999997</v>
      </c>
      <c r="F172" s="204">
        <f t="shared" si="14"/>
        <v>105.05050505050507</v>
      </c>
      <c r="G172" s="201">
        <f>10.1*29</f>
        <v>292.89999999999998</v>
      </c>
      <c r="H172" s="204">
        <f t="shared" ref="H172:H179" si="16">G172/29</f>
        <v>10.1</v>
      </c>
      <c r="I172" s="216">
        <v>0.307</v>
      </c>
      <c r="J172" s="201"/>
      <c r="K172" s="201"/>
      <c r="L172" s="201"/>
      <c r="M172" s="201"/>
    </row>
    <row r="173" spans="3:13" s="202" customFormat="1" x14ac:dyDescent="0.25">
      <c r="C173" s="201" t="s">
        <v>79</v>
      </c>
      <c r="D173" s="216">
        <v>0.34</v>
      </c>
      <c r="E173" s="216">
        <f t="shared" si="13"/>
        <v>0.28050000000000003</v>
      </c>
      <c r="F173" s="204">
        <f t="shared" si="14"/>
        <v>92.691622103386806</v>
      </c>
      <c r="G173" s="201">
        <f>10*29</f>
        <v>290</v>
      </c>
      <c r="H173" s="204">
        <f t="shared" si="16"/>
        <v>10</v>
      </c>
      <c r="I173" s="216">
        <v>0.29599999999999999</v>
      </c>
      <c r="J173" s="201"/>
      <c r="K173" s="201"/>
      <c r="L173" s="201"/>
      <c r="M173" s="201"/>
    </row>
    <row r="174" spans="3:13" s="202" customFormat="1" x14ac:dyDescent="0.25">
      <c r="C174" s="201" t="s">
        <v>80</v>
      </c>
      <c r="D174" s="216">
        <v>0.4</v>
      </c>
      <c r="E174" s="216">
        <f t="shared" si="13"/>
        <v>0.33</v>
      </c>
      <c r="F174" s="204">
        <f t="shared" si="14"/>
        <v>78.787878787878782</v>
      </c>
      <c r="G174" s="201">
        <f>9.1*29</f>
        <v>263.89999999999998</v>
      </c>
      <c r="H174" s="204">
        <f t="shared" si="16"/>
        <v>9.1</v>
      </c>
      <c r="I174" s="216">
        <v>0.28999999999999998</v>
      </c>
      <c r="J174" s="201"/>
      <c r="K174" s="201"/>
      <c r="L174" s="201"/>
      <c r="M174" s="201"/>
    </row>
    <row r="175" spans="3:13" s="202" customFormat="1" x14ac:dyDescent="0.25">
      <c r="C175" s="201" t="s">
        <v>81</v>
      </c>
      <c r="D175" s="216">
        <v>0.5</v>
      </c>
      <c r="E175" s="216">
        <f t="shared" si="13"/>
        <v>0.41249999999999998</v>
      </c>
      <c r="F175" s="204">
        <f t="shared" si="14"/>
        <v>63.030303030303031</v>
      </c>
      <c r="G175" s="201">
        <f>8*29</f>
        <v>232</v>
      </c>
      <c r="H175" s="204">
        <f t="shared" si="16"/>
        <v>8</v>
      </c>
      <c r="I175" s="216">
        <v>0.28399999999999997</v>
      </c>
      <c r="J175" s="201"/>
      <c r="K175" s="201"/>
      <c r="L175" s="201"/>
      <c r="M175" s="201"/>
    </row>
    <row r="176" spans="3:13" s="202" customFormat="1" x14ac:dyDescent="0.25">
      <c r="C176" s="201" t="s">
        <v>25</v>
      </c>
      <c r="D176" s="216">
        <v>0.6</v>
      </c>
      <c r="E176" s="216">
        <f t="shared" si="13"/>
        <v>0.49499999999999994</v>
      </c>
      <c r="F176" s="204">
        <f t="shared" si="14"/>
        <v>52.525252525252533</v>
      </c>
      <c r="G176" s="201">
        <f>7.6*29</f>
        <v>220.39999999999998</v>
      </c>
      <c r="H176" s="204">
        <f t="shared" si="16"/>
        <v>7.6</v>
      </c>
      <c r="I176" s="216">
        <v>0.29599999999999999</v>
      </c>
      <c r="J176" s="201"/>
      <c r="K176" s="201"/>
      <c r="L176" s="201"/>
      <c r="M176" s="201"/>
    </row>
    <row r="177" spans="3:13" s="202" customFormat="1" x14ac:dyDescent="0.25">
      <c r="C177" s="201" t="s">
        <v>23</v>
      </c>
      <c r="D177" s="216">
        <v>0.50800000000000001</v>
      </c>
      <c r="E177" s="216">
        <f t="shared" si="13"/>
        <v>0.41909999999999997</v>
      </c>
      <c r="F177" s="204">
        <f t="shared" si="14"/>
        <v>62.037699832975427</v>
      </c>
      <c r="G177" s="201">
        <f>8.6*29</f>
        <v>249.39999999999998</v>
      </c>
      <c r="H177" s="204">
        <f t="shared" si="16"/>
        <v>8.6</v>
      </c>
      <c r="I177" s="216">
        <v>0.29699999999999999</v>
      </c>
      <c r="J177" s="201"/>
      <c r="K177" s="201"/>
      <c r="L177" s="201"/>
      <c r="M177" s="201"/>
    </row>
    <row r="178" spans="3:13" s="202" customFormat="1" x14ac:dyDescent="0.25">
      <c r="C178" s="201" t="s">
        <v>22</v>
      </c>
      <c r="D178" s="216">
        <v>0.4</v>
      </c>
      <c r="E178" s="216">
        <f t="shared" si="13"/>
        <v>0.33</v>
      </c>
      <c r="F178" s="204">
        <f t="shared" si="14"/>
        <v>78.787878787878782</v>
      </c>
      <c r="G178" s="201">
        <f>9.3*29</f>
        <v>269.70000000000005</v>
      </c>
      <c r="H178" s="204">
        <f t="shared" si="16"/>
        <v>9.3000000000000007</v>
      </c>
      <c r="I178" s="216">
        <v>0.30199999999999999</v>
      </c>
      <c r="J178" s="201"/>
      <c r="K178" s="201"/>
      <c r="L178" s="201"/>
      <c r="M178" s="201"/>
    </row>
    <row r="179" spans="3:13" s="202" customFormat="1" x14ac:dyDescent="0.25">
      <c r="C179" s="201" t="s">
        <v>24</v>
      </c>
      <c r="D179" s="216">
        <v>0.3</v>
      </c>
      <c r="E179" s="216">
        <f t="shared" si="13"/>
        <v>0.24749999999999997</v>
      </c>
      <c r="F179" s="204">
        <f t="shared" si="14"/>
        <v>105.05050505050507</v>
      </c>
      <c r="G179" s="201">
        <f>11*29</f>
        <v>319</v>
      </c>
      <c r="H179" s="204">
        <f t="shared" si="16"/>
        <v>11</v>
      </c>
      <c r="I179" s="216">
        <v>0.311</v>
      </c>
      <c r="J179" s="201"/>
      <c r="K179" s="201"/>
      <c r="L179" s="201"/>
      <c r="M179" s="201"/>
    </row>
    <row r="180" spans="3:13" s="202" customFormat="1" x14ac:dyDescent="0.25">
      <c r="C180" s="201" t="s">
        <v>152</v>
      </c>
      <c r="D180" s="216">
        <v>0.5</v>
      </c>
      <c r="E180" s="216">
        <f t="shared" si="13"/>
        <v>0.41249999999999998</v>
      </c>
      <c r="F180" s="204">
        <f t="shared" si="14"/>
        <v>63.030303030303031</v>
      </c>
      <c r="G180" s="201">
        <f t="shared" ref="G180:G189" si="17">H180*29</f>
        <v>214.60000000000002</v>
      </c>
      <c r="H180" s="204">
        <v>7.4</v>
      </c>
      <c r="I180" s="216">
        <v>0.29099999999999998</v>
      </c>
      <c r="J180" s="201"/>
      <c r="K180" s="201"/>
      <c r="L180" s="201"/>
      <c r="M180" s="201"/>
    </row>
    <row r="181" spans="3:13" s="202" customFormat="1" x14ac:dyDescent="0.25">
      <c r="C181" s="201" t="s">
        <v>151</v>
      </c>
      <c r="D181" s="216">
        <v>0.5</v>
      </c>
      <c r="E181" s="216">
        <f t="shared" si="13"/>
        <v>0.41249999999999998</v>
      </c>
      <c r="F181" s="204">
        <f t="shared" si="14"/>
        <v>63.030303030303031</v>
      </c>
      <c r="G181" s="201">
        <f t="shared" si="17"/>
        <v>237.79999999999998</v>
      </c>
      <c r="H181" s="204">
        <v>8.1999999999999993</v>
      </c>
      <c r="I181" s="216">
        <v>0.29599999999999999</v>
      </c>
      <c r="J181" s="201"/>
      <c r="K181" s="201"/>
      <c r="L181" s="201"/>
      <c r="M181" s="201"/>
    </row>
    <row r="182" spans="3:13" s="202" customFormat="1" x14ac:dyDescent="0.25">
      <c r="C182" s="201" t="s">
        <v>150</v>
      </c>
      <c r="D182" s="216">
        <v>0.4</v>
      </c>
      <c r="E182" s="216">
        <f t="shared" si="13"/>
        <v>0.33</v>
      </c>
      <c r="F182" s="204">
        <f t="shared" si="14"/>
        <v>78.787878787878782</v>
      </c>
      <c r="G182" s="201">
        <f t="shared" si="17"/>
        <v>237.79999999999998</v>
      </c>
      <c r="H182" s="204">
        <v>8.1999999999999993</v>
      </c>
      <c r="I182" s="216">
        <v>0.29499999999999998</v>
      </c>
      <c r="J182" s="201"/>
      <c r="K182" s="201"/>
      <c r="L182" s="201"/>
      <c r="M182" s="201"/>
    </row>
    <row r="183" spans="3:13" s="202" customFormat="1" x14ac:dyDescent="0.25">
      <c r="C183" s="201" t="s">
        <v>149</v>
      </c>
      <c r="D183" s="216">
        <v>0.4</v>
      </c>
      <c r="E183" s="216">
        <f t="shared" ref="E183:E193" si="18">D183*0.825</f>
        <v>0.33</v>
      </c>
      <c r="F183" s="204">
        <f t="shared" ref="F183:F193" si="19">26/E183</f>
        <v>78.787878787878782</v>
      </c>
      <c r="G183" s="201">
        <f t="shared" si="17"/>
        <v>249.39999999999998</v>
      </c>
      <c r="H183" s="204">
        <v>8.6</v>
      </c>
      <c r="I183" s="216">
        <v>0.29799999999999999</v>
      </c>
      <c r="J183" s="201"/>
      <c r="K183" s="201"/>
      <c r="L183" s="201"/>
      <c r="M183" s="201"/>
    </row>
    <row r="184" spans="3:13" s="202" customFormat="1" x14ac:dyDescent="0.25">
      <c r="C184" s="196" t="s">
        <v>373</v>
      </c>
      <c r="D184" s="216">
        <v>0.34</v>
      </c>
      <c r="E184" s="216">
        <f t="shared" si="18"/>
        <v>0.28050000000000003</v>
      </c>
      <c r="F184" s="204">
        <f t="shared" si="19"/>
        <v>92.691622103386806</v>
      </c>
      <c r="G184" s="201">
        <f t="shared" si="17"/>
        <v>258.10000000000002</v>
      </c>
      <c r="H184" s="204">
        <v>8.9</v>
      </c>
      <c r="I184" s="216">
        <v>0.3</v>
      </c>
      <c r="J184" s="201"/>
      <c r="K184" s="201"/>
      <c r="L184" s="201"/>
      <c r="M184" s="201"/>
    </row>
    <row r="185" spans="3:13" s="202" customFormat="1" x14ac:dyDescent="0.25">
      <c r="C185" s="196" t="s">
        <v>148</v>
      </c>
      <c r="D185" s="216">
        <v>0.34</v>
      </c>
      <c r="E185" s="216">
        <f t="shared" si="18"/>
        <v>0.28050000000000003</v>
      </c>
      <c r="F185" s="204">
        <f t="shared" si="19"/>
        <v>92.691622103386806</v>
      </c>
      <c r="G185" s="201">
        <f t="shared" si="17"/>
        <v>295.79999999999995</v>
      </c>
      <c r="H185" s="204">
        <v>10.199999999999999</v>
      </c>
      <c r="I185" s="216">
        <v>0.31</v>
      </c>
      <c r="J185" s="201"/>
      <c r="K185" s="201"/>
      <c r="L185" s="201"/>
      <c r="M185" s="201"/>
    </row>
    <row r="186" spans="3:13" s="202" customFormat="1" x14ac:dyDescent="0.25">
      <c r="C186" s="201" t="s">
        <v>144</v>
      </c>
      <c r="D186" s="216">
        <v>0.3</v>
      </c>
      <c r="E186" s="216">
        <f t="shared" si="18"/>
        <v>0.24749999999999997</v>
      </c>
      <c r="F186" s="204">
        <f t="shared" si="19"/>
        <v>105.05050505050507</v>
      </c>
      <c r="G186" s="201">
        <f t="shared" si="17"/>
        <v>275.5</v>
      </c>
      <c r="H186" s="204">
        <v>9.5</v>
      </c>
      <c r="I186" s="216">
        <f>5/16</f>
        <v>0.3125</v>
      </c>
      <c r="J186" s="196" t="s">
        <v>350</v>
      </c>
      <c r="K186" s="201">
        <v>21</v>
      </c>
      <c r="L186" s="201" t="s">
        <v>357</v>
      </c>
      <c r="M186" s="201"/>
    </row>
    <row r="187" spans="3:13" s="202" customFormat="1" x14ac:dyDescent="0.25">
      <c r="C187" s="201" t="s">
        <v>146</v>
      </c>
      <c r="D187" s="216">
        <v>0.34</v>
      </c>
      <c r="E187" s="216">
        <f t="shared" si="18"/>
        <v>0.28050000000000003</v>
      </c>
      <c r="F187" s="204">
        <f t="shared" si="19"/>
        <v>92.691622103386806</v>
      </c>
      <c r="G187" s="201">
        <f t="shared" si="17"/>
        <v>269.70000000000005</v>
      </c>
      <c r="H187" s="204">
        <v>9.3000000000000007</v>
      </c>
      <c r="I187" s="216">
        <f>5/16</f>
        <v>0.3125</v>
      </c>
      <c r="J187" s="201" t="s">
        <v>350</v>
      </c>
      <c r="K187" s="201">
        <v>21</v>
      </c>
      <c r="L187" s="201" t="s">
        <v>357</v>
      </c>
      <c r="M187" s="201"/>
    </row>
    <row r="188" spans="3:13" s="202" customFormat="1" x14ac:dyDescent="0.25">
      <c r="C188" s="201" t="s">
        <v>145</v>
      </c>
      <c r="D188" s="216">
        <v>0.4</v>
      </c>
      <c r="E188" s="216">
        <f t="shared" si="18"/>
        <v>0.33</v>
      </c>
      <c r="F188" s="204">
        <f t="shared" si="19"/>
        <v>78.787878787878782</v>
      </c>
      <c r="G188" s="201">
        <f t="shared" si="17"/>
        <v>243.60000000000002</v>
      </c>
      <c r="H188" s="204">
        <v>8.4</v>
      </c>
      <c r="I188" s="216">
        <f>9/32</f>
        <v>0.28125</v>
      </c>
      <c r="J188" s="201" t="s">
        <v>350</v>
      </c>
      <c r="K188" s="201">
        <v>21</v>
      </c>
      <c r="L188" s="201" t="s">
        <v>357</v>
      </c>
      <c r="M188" s="201"/>
    </row>
    <row r="189" spans="3:13" s="202" customFormat="1" x14ac:dyDescent="0.25">
      <c r="C189" s="201" t="s">
        <v>147</v>
      </c>
      <c r="D189" s="216">
        <v>0.5</v>
      </c>
      <c r="E189" s="216">
        <f t="shared" si="18"/>
        <v>0.41249999999999998</v>
      </c>
      <c r="F189" s="204">
        <f t="shared" si="19"/>
        <v>63.030303030303031</v>
      </c>
      <c r="G189" s="201">
        <f t="shared" si="17"/>
        <v>211.7</v>
      </c>
      <c r="H189" s="204">
        <v>7.3</v>
      </c>
      <c r="I189" s="216">
        <f>9/32</f>
        <v>0.28125</v>
      </c>
      <c r="J189" s="201" t="s">
        <v>350</v>
      </c>
      <c r="K189" s="201">
        <v>21</v>
      </c>
      <c r="L189" s="201" t="s">
        <v>357</v>
      </c>
      <c r="M189" s="201"/>
    </row>
    <row r="190" spans="3:13" s="202" customFormat="1" x14ac:dyDescent="0.25">
      <c r="C190" s="201" t="s">
        <v>33</v>
      </c>
      <c r="D190" s="216">
        <v>0.34</v>
      </c>
      <c r="E190" s="216">
        <f t="shared" si="18"/>
        <v>0.28050000000000003</v>
      </c>
      <c r="F190" s="204">
        <f t="shared" si="19"/>
        <v>92.691622103386806</v>
      </c>
      <c r="G190" s="201">
        <f>11.2*29</f>
        <v>324.79999999999995</v>
      </c>
      <c r="H190" s="204">
        <f>G190/29</f>
        <v>11.2</v>
      </c>
      <c r="I190" s="216">
        <f>18/64</f>
        <v>0.28125</v>
      </c>
      <c r="J190" s="196" t="s">
        <v>330</v>
      </c>
      <c r="K190" s="201"/>
      <c r="L190" s="196" t="s">
        <v>322</v>
      </c>
      <c r="M190" s="201"/>
    </row>
    <row r="191" spans="3:13" s="202" customFormat="1" x14ac:dyDescent="0.25">
      <c r="C191" s="201" t="s">
        <v>34</v>
      </c>
      <c r="D191" s="216">
        <v>0.4</v>
      </c>
      <c r="E191" s="216">
        <f t="shared" si="18"/>
        <v>0.33</v>
      </c>
      <c r="F191" s="204">
        <f t="shared" si="19"/>
        <v>78.787878787878782</v>
      </c>
      <c r="G191" s="201">
        <f>10.4*29</f>
        <v>301.60000000000002</v>
      </c>
      <c r="H191" s="204">
        <f>G191/29</f>
        <v>10.4</v>
      </c>
      <c r="I191" s="216">
        <f>18/64</f>
        <v>0.28125</v>
      </c>
      <c r="J191" s="196" t="s">
        <v>330</v>
      </c>
      <c r="K191" s="201"/>
      <c r="L191" s="196" t="s">
        <v>322</v>
      </c>
      <c r="M191" s="201"/>
    </row>
    <row r="192" spans="3:13" s="202" customFormat="1" x14ac:dyDescent="0.25">
      <c r="C192" s="201" t="s">
        <v>35</v>
      </c>
      <c r="D192" s="216">
        <v>0.5</v>
      </c>
      <c r="E192" s="216">
        <f t="shared" si="18"/>
        <v>0.41249999999999998</v>
      </c>
      <c r="F192" s="204">
        <f t="shared" si="19"/>
        <v>63.030303030303031</v>
      </c>
      <c r="G192" s="201">
        <f>9.7*29</f>
        <v>281.29999999999995</v>
      </c>
      <c r="H192" s="204">
        <f>G192/29</f>
        <v>9.6999999999999993</v>
      </c>
      <c r="I192" s="216">
        <f>9/32</f>
        <v>0.28125</v>
      </c>
      <c r="J192" s="196" t="s">
        <v>330</v>
      </c>
      <c r="K192" s="201"/>
      <c r="L192" s="196" t="s">
        <v>322</v>
      </c>
      <c r="M192" s="201"/>
    </row>
    <row r="193" spans="3:13" s="202" customFormat="1" x14ac:dyDescent="0.25">
      <c r="C193" s="201" t="s">
        <v>125</v>
      </c>
      <c r="D193" s="216">
        <v>0.6</v>
      </c>
      <c r="E193" s="216">
        <f t="shared" si="18"/>
        <v>0.49499999999999994</v>
      </c>
      <c r="F193" s="204">
        <f t="shared" si="19"/>
        <v>52.525252525252533</v>
      </c>
      <c r="G193" s="201">
        <f>8*29</f>
        <v>232</v>
      </c>
      <c r="H193" s="204">
        <f>G193/29</f>
        <v>8</v>
      </c>
      <c r="I193" s="216">
        <f>17/64</f>
        <v>0.265625</v>
      </c>
      <c r="J193" s="196" t="s">
        <v>330</v>
      </c>
      <c r="K193" s="201"/>
      <c r="L193" s="196" t="s">
        <v>322</v>
      </c>
      <c r="M193" s="201"/>
    </row>
    <row r="194" spans="3:13" s="202" customFormat="1" x14ac:dyDescent="0.25">
      <c r="C194" s="196" t="s">
        <v>14</v>
      </c>
      <c r="D194" s="216" t="e">
        <f>E194/0.825</f>
        <v>#DIV/0!</v>
      </c>
      <c r="E194" s="216" t="e">
        <f>26/F194</f>
        <v>#DIV/0!</v>
      </c>
      <c r="F194" s="204">
        <f>$C$6</f>
        <v>0</v>
      </c>
      <c r="G194" s="201">
        <f>29*H194</f>
        <v>0</v>
      </c>
      <c r="H194" s="204">
        <f>$C$7</f>
        <v>0</v>
      </c>
      <c r="I194" s="216">
        <f>$C$8</f>
        <v>0</v>
      </c>
      <c r="J194" s="201"/>
      <c r="K194" s="201"/>
      <c r="L194" s="201"/>
      <c r="M194" s="201"/>
    </row>
    <row r="195" spans="3:13" s="202" customFormat="1" x14ac:dyDescent="0.25">
      <c r="C195" s="201" t="s">
        <v>119</v>
      </c>
      <c r="D195" s="216">
        <v>0.52400000000000002</v>
      </c>
      <c r="E195" s="216">
        <f>D195*0.825</f>
        <v>0.43230000000000002</v>
      </c>
      <c r="F195" s="204">
        <f>26/E195</f>
        <v>60.143418922044873</v>
      </c>
      <c r="G195" s="201">
        <f>H195*29</f>
        <v>191.39999999999998</v>
      </c>
      <c r="H195" s="204">
        <v>6.6</v>
      </c>
      <c r="I195" s="216">
        <f>5/16</f>
        <v>0.3125</v>
      </c>
      <c r="J195" s="201"/>
      <c r="K195" s="201"/>
      <c r="L195" s="201"/>
      <c r="M195" s="201"/>
    </row>
    <row r="196" spans="3:13" s="202" customFormat="1" x14ac:dyDescent="0.25">
      <c r="C196" s="201" t="s">
        <v>186</v>
      </c>
      <c r="D196" s="216">
        <v>0.42</v>
      </c>
      <c r="E196" s="216">
        <f>D196*0.825</f>
        <v>0.34649999999999997</v>
      </c>
      <c r="F196" s="204">
        <f>26/E196</f>
        <v>75.036075036075047</v>
      </c>
      <c r="G196" s="201">
        <f>H196*29</f>
        <v>217.5</v>
      </c>
      <c r="H196" s="204">
        <v>7.5</v>
      </c>
      <c r="I196" s="216">
        <f>5/16</f>
        <v>0.3125</v>
      </c>
      <c r="J196" s="201"/>
      <c r="K196" s="201"/>
      <c r="L196" s="201"/>
      <c r="M196" s="201"/>
    </row>
    <row r="197" spans="3:13" s="202" customFormat="1" x14ac:dyDescent="0.25">
      <c r="C197" s="201" t="s">
        <v>187</v>
      </c>
      <c r="D197" s="216">
        <v>0.35899999999999999</v>
      </c>
      <c r="E197" s="216">
        <f>D197*0.825</f>
        <v>0.29617499999999997</v>
      </c>
      <c r="F197" s="204">
        <f>26/E197</f>
        <v>87.785937368110083</v>
      </c>
      <c r="G197" s="201">
        <f>H197*29</f>
        <v>249.39999999999998</v>
      </c>
      <c r="H197" s="204">
        <v>8.6</v>
      </c>
      <c r="I197" s="216">
        <f>5/16</f>
        <v>0.3125</v>
      </c>
      <c r="J197" s="201"/>
      <c r="K197" s="201"/>
      <c r="L197" s="201"/>
      <c r="M197" s="201"/>
    </row>
    <row r="198" spans="3:13" s="202" customFormat="1" x14ac:dyDescent="0.25">
      <c r="C198" s="201" t="s">
        <v>188</v>
      </c>
      <c r="D198" s="216">
        <v>0.32</v>
      </c>
      <c r="E198" s="216">
        <f>D198*0.825</f>
        <v>0.26400000000000001</v>
      </c>
      <c r="F198" s="204">
        <f>26/E198</f>
        <v>98.484848484848484</v>
      </c>
      <c r="G198" s="201">
        <f>H198*29</f>
        <v>266.79999999999995</v>
      </c>
      <c r="H198" s="204">
        <v>9.1999999999999993</v>
      </c>
      <c r="I198" s="216">
        <f>5/16</f>
        <v>0.3125</v>
      </c>
      <c r="J198" s="201"/>
      <c r="K198" s="201"/>
      <c r="L198" s="201"/>
      <c r="M198" s="201"/>
    </row>
    <row r="199" spans="3:13" s="202" customFormat="1" x14ac:dyDescent="0.25">
      <c r="C199" s="196" t="s">
        <v>36</v>
      </c>
      <c r="D199" s="216" t="e">
        <f>E199/0.825</f>
        <v>#DIV/0!</v>
      </c>
      <c r="E199" s="216" t="e">
        <f>26/F199</f>
        <v>#DIV/0!</v>
      </c>
      <c r="F199" s="204">
        <f>$C$6</f>
        <v>0</v>
      </c>
      <c r="G199" s="201">
        <f>29*H199</f>
        <v>0</v>
      </c>
      <c r="H199" s="204">
        <f>$C$7</f>
        <v>0</v>
      </c>
      <c r="I199" s="216">
        <f>$C$8</f>
        <v>0</v>
      </c>
      <c r="J199" s="201"/>
      <c r="K199" s="201"/>
      <c r="L199" s="201"/>
      <c r="M199" s="201"/>
    </row>
    <row r="200" spans="3:13" s="202" customFormat="1" x14ac:dyDescent="0.25">
      <c r="C200" s="201"/>
      <c r="D200" s="216"/>
      <c r="E200" s="216">
        <f>D200*0.825</f>
        <v>0</v>
      </c>
      <c r="F200" s="204" t="e">
        <f>26/E200</f>
        <v>#DIV/0!</v>
      </c>
      <c r="G200" s="201"/>
      <c r="H200" s="204">
        <f>G200/29</f>
        <v>0</v>
      </c>
      <c r="I200" s="216"/>
      <c r="J200" s="201"/>
      <c r="K200" s="201"/>
      <c r="L200" s="201"/>
      <c r="M200" s="201"/>
    </row>
    <row r="201" spans="3:13" s="202" customFormat="1" x14ac:dyDescent="0.25">
      <c r="C201" s="219"/>
      <c r="D201" s="219"/>
      <c r="E201" s="219"/>
      <c r="F201" s="219"/>
      <c r="G201" s="219"/>
      <c r="H201" s="219"/>
      <c r="L201" s="204"/>
      <c r="M201" s="201"/>
    </row>
    <row r="202" spans="3:13" s="202" customFormat="1" x14ac:dyDescent="0.25">
      <c r="C202" s="220" t="s">
        <v>214</v>
      </c>
      <c r="D202" s="220" t="s">
        <v>215</v>
      </c>
      <c r="E202" s="220" t="s">
        <v>193</v>
      </c>
      <c r="F202" s="220" t="s">
        <v>216</v>
      </c>
      <c r="G202" s="219"/>
      <c r="H202" s="220" t="s">
        <v>218</v>
      </c>
      <c r="L202" s="204"/>
      <c r="M202" s="201"/>
    </row>
    <row r="203" spans="3:13" s="202" customFormat="1" x14ac:dyDescent="0.25">
      <c r="C203" s="201" t="s">
        <v>208</v>
      </c>
      <c r="D203" s="232">
        <v>1</v>
      </c>
      <c r="E203" s="233" t="s">
        <v>4</v>
      </c>
      <c r="F203" s="199">
        <f>G13</f>
        <v>-6.25E-2</v>
      </c>
      <c r="G203" s="219"/>
      <c r="H203" s="205" t="s">
        <v>217</v>
      </c>
      <c r="I203" s="206" t="str">
        <f>IF((VLOOKUP(C13,C203:E307,3)=999),"NO","YES")</f>
        <v>YES</v>
      </c>
      <c r="L203" s="204"/>
      <c r="M203" s="201"/>
    </row>
    <row r="204" spans="3:13" s="202" customFormat="1" x14ac:dyDescent="0.25">
      <c r="C204" s="201" t="s">
        <v>212</v>
      </c>
      <c r="D204" s="232">
        <v>1.07</v>
      </c>
      <c r="E204" s="233" t="s">
        <v>4</v>
      </c>
      <c r="F204" s="199">
        <f>G13</f>
        <v>-6.25E-2</v>
      </c>
      <c r="G204" s="219"/>
      <c r="H204" s="207"/>
      <c r="L204" s="204"/>
    </row>
    <row r="205" spans="3:13" s="202" customFormat="1" x14ac:dyDescent="0.25">
      <c r="C205" s="201" t="s">
        <v>209</v>
      </c>
      <c r="D205" s="232">
        <v>1.04</v>
      </c>
      <c r="E205" s="233" t="s">
        <v>4</v>
      </c>
      <c r="F205" s="199">
        <f>G13</f>
        <v>-6.25E-2</v>
      </c>
      <c r="G205" s="219"/>
      <c r="H205" s="207"/>
      <c r="L205" s="204"/>
    </row>
    <row r="206" spans="3:13" s="202" customFormat="1" x14ac:dyDescent="0.25">
      <c r="C206" s="201" t="s">
        <v>210</v>
      </c>
      <c r="D206" s="232">
        <v>0.97</v>
      </c>
      <c r="E206" s="233" t="s">
        <v>4</v>
      </c>
      <c r="F206" s="199">
        <f>G13</f>
        <v>-6.25E-2</v>
      </c>
      <c r="G206" s="219"/>
      <c r="H206" s="234"/>
      <c r="L206" s="204"/>
    </row>
    <row r="207" spans="3:13" s="202" customFormat="1" x14ac:dyDescent="0.25">
      <c r="C207" s="196" t="s">
        <v>258</v>
      </c>
      <c r="D207" s="232">
        <v>1.05</v>
      </c>
      <c r="E207" s="235">
        <v>-0.34375</v>
      </c>
      <c r="F207" s="216">
        <f t="shared" ref="F207:F239" si="20">E207+$G$14</f>
        <v>-0.28375</v>
      </c>
      <c r="G207" s="219"/>
      <c r="H207" s="219"/>
      <c r="L207" s="204"/>
    </row>
    <row r="208" spans="3:13" s="202" customFormat="1" x14ac:dyDescent="0.25">
      <c r="C208" s="196" t="s">
        <v>251</v>
      </c>
      <c r="D208" s="232">
        <v>1</v>
      </c>
      <c r="E208" s="235">
        <v>6.25E-2</v>
      </c>
      <c r="F208" s="216">
        <f t="shared" si="20"/>
        <v>0.1225</v>
      </c>
      <c r="G208" s="219"/>
      <c r="H208" s="219"/>
      <c r="L208" s="204"/>
    </row>
    <row r="209" spans="3:12" s="202" customFormat="1" x14ac:dyDescent="0.25">
      <c r="C209" s="196" t="s">
        <v>274</v>
      </c>
      <c r="D209" s="232">
        <v>1.03</v>
      </c>
      <c r="E209" s="235">
        <v>-0.1875</v>
      </c>
      <c r="F209" s="216">
        <f t="shared" si="20"/>
        <v>-0.1275</v>
      </c>
      <c r="G209" s="219"/>
      <c r="H209" s="219"/>
      <c r="L209" s="204"/>
    </row>
    <row r="210" spans="3:12" s="202" customFormat="1" x14ac:dyDescent="0.25">
      <c r="C210" s="201" t="s">
        <v>196</v>
      </c>
      <c r="D210" s="236">
        <v>1</v>
      </c>
      <c r="E210" s="237">
        <v>6.25E-2</v>
      </c>
      <c r="F210" s="216">
        <f t="shared" si="20"/>
        <v>0.1225</v>
      </c>
      <c r="G210" s="219"/>
      <c r="H210" s="218"/>
      <c r="L210" s="204"/>
    </row>
    <row r="211" spans="3:12" s="202" customFormat="1" x14ac:dyDescent="0.25">
      <c r="C211" s="196" t="s">
        <v>283</v>
      </c>
      <c r="D211" s="232">
        <v>1</v>
      </c>
      <c r="E211" s="235">
        <v>-0.1875</v>
      </c>
      <c r="F211" s="216">
        <f t="shared" si="20"/>
        <v>-0.1275</v>
      </c>
      <c r="G211" s="219"/>
      <c r="H211" s="219"/>
      <c r="L211" s="204"/>
    </row>
    <row r="212" spans="3:12" s="202" customFormat="1" x14ac:dyDescent="0.25">
      <c r="C212" s="196" t="s">
        <v>282</v>
      </c>
      <c r="D212" s="232">
        <v>1.04</v>
      </c>
      <c r="E212" s="235">
        <v>-0.1875</v>
      </c>
      <c r="F212" s="216">
        <f t="shared" si="20"/>
        <v>-0.1275</v>
      </c>
      <c r="G212" s="219"/>
      <c r="H212" s="219"/>
      <c r="L212" s="204"/>
    </row>
    <row r="213" spans="3:12" s="202" customFormat="1" x14ac:dyDescent="0.25">
      <c r="C213" s="196" t="s">
        <v>284</v>
      </c>
      <c r="D213" s="232">
        <v>1</v>
      </c>
      <c r="E213" s="235">
        <v>-0.1875</v>
      </c>
      <c r="F213" s="216">
        <f t="shared" si="20"/>
        <v>-0.1275</v>
      </c>
      <c r="G213" s="219"/>
      <c r="H213" s="219"/>
      <c r="L213" s="204"/>
    </row>
    <row r="214" spans="3:12" s="202" customFormat="1" x14ac:dyDescent="0.25">
      <c r="C214" s="201" t="s">
        <v>219</v>
      </c>
      <c r="D214" s="232">
        <v>0.98</v>
      </c>
      <c r="E214" s="235">
        <v>0.125</v>
      </c>
      <c r="F214" s="216">
        <f t="shared" si="20"/>
        <v>0.185</v>
      </c>
      <c r="G214" s="219"/>
      <c r="H214" s="219"/>
      <c r="L214" s="204"/>
    </row>
    <row r="215" spans="3:12" s="202" customFormat="1" x14ac:dyDescent="0.25">
      <c r="C215" s="196" t="s">
        <v>244</v>
      </c>
      <c r="D215" s="232">
        <v>0.98</v>
      </c>
      <c r="E215" s="235">
        <v>0</v>
      </c>
      <c r="F215" s="216">
        <f t="shared" si="20"/>
        <v>0.06</v>
      </c>
      <c r="G215" s="219"/>
      <c r="H215" s="219"/>
      <c r="L215" s="204"/>
    </row>
    <row r="216" spans="3:12" s="202" customFormat="1" x14ac:dyDescent="0.25">
      <c r="C216" s="196" t="s">
        <v>293</v>
      </c>
      <c r="D216" s="232">
        <v>1.04</v>
      </c>
      <c r="E216" s="235">
        <v>-0.1875</v>
      </c>
      <c r="F216" s="216">
        <f t="shared" si="20"/>
        <v>-0.1275</v>
      </c>
      <c r="G216" s="219"/>
      <c r="H216" s="219"/>
    </row>
    <row r="217" spans="3:12" s="202" customFormat="1" x14ac:dyDescent="0.25">
      <c r="C217" s="196" t="s">
        <v>263</v>
      </c>
      <c r="D217" s="232">
        <v>1</v>
      </c>
      <c r="E217" s="235">
        <v>0</v>
      </c>
      <c r="F217" s="216">
        <f t="shared" si="20"/>
        <v>0.06</v>
      </c>
      <c r="G217" s="219"/>
      <c r="H217" s="219"/>
    </row>
    <row r="218" spans="3:12" s="202" customFormat="1" x14ac:dyDescent="0.25">
      <c r="C218" s="196" t="s">
        <v>221</v>
      </c>
      <c r="D218" s="232">
        <v>1.04</v>
      </c>
      <c r="E218" s="235">
        <v>-0.125</v>
      </c>
      <c r="F218" s="216">
        <f t="shared" si="20"/>
        <v>-6.5000000000000002E-2</v>
      </c>
      <c r="G218" s="219"/>
      <c r="H218" s="219"/>
    </row>
    <row r="219" spans="3:12" s="202" customFormat="1" x14ac:dyDescent="0.25">
      <c r="C219" s="201" t="s">
        <v>238</v>
      </c>
      <c r="D219" s="232">
        <v>1</v>
      </c>
      <c r="E219" s="235">
        <v>0</v>
      </c>
      <c r="F219" s="216">
        <f t="shared" si="20"/>
        <v>0.06</v>
      </c>
      <c r="G219" s="219"/>
      <c r="H219" s="219"/>
    </row>
    <row r="220" spans="3:12" s="202" customFormat="1" x14ac:dyDescent="0.25">
      <c r="C220" s="201" t="s">
        <v>239</v>
      </c>
      <c r="D220" s="232">
        <v>1.05</v>
      </c>
      <c r="E220" s="237">
        <v>-0.125</v>
      </c>
      <c r="F220" s="216">
        <f t="shared" si="20"/>
        <v>-6.5000000000000002E-2</v>
      </c>
      <c r="G220" s="219"/>
      <c r="H220" s="219"/>
    </row>
    <row r="221" spans="3:12" s="202" customFormat="1" x14ac:dyDescent="0.25">
      <c r="C221" s="196" t="s">
        <v>241</v>
      </c>
      <c r="D221" s="232">
        <v>1.04</v>
      </c>
      <c r="E221" s="235">
        <v>-0.125</v>
      </c>
      <c r="F221" s="216">
        <f t="shared" si="20"/>
        <v>-6.5000000000000002E-2</v>
      </c>
      <c r="G221" s="219"/>
      <c r="H221" s="219"/>
    </row>
    <row r="222" spans="3:12" s="202" customFormat="1" x14ac:dyDescent="0.25">
      <c r="C222" s="196" t="s">
        <v>242</v>
      </c>
      <c r="D222" s="232">
        <v>1.04</v>
      </c>
      <c r="E222" s="237">
        <v>0</v>
      </c>
      <c r="F222" s="216">
        <f t="shared" si="20"/>
        <v>0.06</v>
      </c>
      <c r="G222" s="219"/>
      <c r="H222" s="219"/>
    </row>
    <row r="223" spans="3:12" s="202" customFormat="1" x14ac:dyDescent="0.25">
      <c r="C223" s="196" t="s">
        <v>248</v>
      </c>
      <c r="D223" s="232">
        <v>1.04</v>
      </c>
      <c r="E223" s="235">
        <v>0</v>
      </c>
      <c r="F223" s="216">
        <f t="shared" si="20"/>
        <v>0.06</v>
      </c>
      <c r="G223" s="219"/>
      <c r="H223" s="219"/>
    </row>
    <row r="224" spans="3:12" s="202" customFormat="1" x14ac:dyDescent="0.25">
      <c r="C224" s="196" t="s">
        <v>243</v>
      </c>
      <c r="D224" s="232">
        <v>1.05</v>
      </c>
      <c r="E224" s="237">
        <v>-0.125</v>
      </c>
      <c r="F224" s="216">
        <f t="shared" si="20"/>
        <v>-6.5000000000000002E-2</v>
      </c>
      <c r="G224" s="219"/>
      <c r="H224" s="219"/>
    </row>
    <row r="225" spans="3:8" s="202" customFormat="1" x14ac:dyDescent="0.25">
      <c r="C225" s="196" t="s">
        <v>222</v>
      </c>
      <c r="D225" s="232">
        <v>1.04</v>
      </c>
      <c r="E225" s="235">
        <v>-0.1875</v>
      </c>
      <c r="F225" s="216">
        <f t="shared" si="20"/>
        <v>-0.1275</v>
      </c>
      <c r="G225" s="219"/>
      <c r="H225" s="219"/>
    </row>
    <row r="226" spans="3:8" s="202" customFormat="1" x14ac:dyDescent="0.25">
      <c r="C226" s="196" t="s">
        <v>249</v>
      </c>
      <c r="D226" s="232">
        <v>0.99</v>
      </c>
      <c r="E226" s="235">
        <v>0</v>
      </c>
      <c r="F226" s="216">
        <f t="shared" si="20"/>
        <v>0.06</v>
      </c>
      <c r="G226" s="219"/>
      <c r="H226" s="219"/>
    </row>
    <row r="227" spans="3:8" s="202" customFormat="1" x14ac:dyDescent="0.25">
      <c r="C227" s="196" t="s">
        <v>240</v>
      </c>
      <c r="D227" s="232">
        <v>1.05</v>
      </c>
      <c r="E227" s="235">
        <v>0</v>
      </c>
      <c r="F227" s="216">
        <f t="shared" si="20"/>
        <v>0.06</v>
      </c>
      <c r="G227" s="219"/>
      <c r="H227" s="219"/>
    </row>
    <row r="228" spans="3:8" s="202" customFormat="1" x14ac:dyDescent="0.25">
      <c r="C228" s="196" t="s">
        <v>305</v>
      </c>
      <c r="D228" s="232">
        <v>1.04</v>
      </c>
      <c r="E228" s="235">
        <v>0</v>
      </c>
      <c r="F228" s="216">
        <f t="shared" si="20"/>
        <v>0.06</v>
      </c>
      <c r="G228" s="219"/>
      <c r="H228" s="219"/>
    </row>
    <row r="229" spans="3:8" s="202" customFormat="1" x14ac:dyDescent="0.25">
      <c r="C229" s="196" t="s">
        <v>368</v>
      </c>
      <c r="D229" s="232">
        <v>1.04</v>
      </c>
      <c r="E229" s="235">
        <v>0</v>
      </c>
      <c r="F229" s="216">
        <f t="shared" si="20"/>
        <v>0.06</v>
      </c>
      <c r="G229" s="219"/>
      <c r="H229" s="219"/>
    </row>
    <row r="230" spans="3:8" s="202" customFormat="1" x14ac:dyDescent="0.25">
      <c r="C230" s="196" t="s">
        <v>358</v>
      </c>
      <c r="D230" s="232">
        <v>1</v>
      </c>
      <c r="E230" s="235">
        <v>0</v>
      </c>
      <c r="F230" s="216">
        <f t="shared" si="20"/>
        <v>0.06</v>
      </c>
      <c r="G230" s="219"/>
      <c r="H230" s="219"/>
    </row>
    <row r="231" spans="3:8" s="202" customFormat="1" x14ac:dyDescent="0.25">
      <c r="C231" s="196" t="s">
        <v>359</v>
      </c>
      <c r="D231" s="232">
        <v>1.01</v>
      </c>
      <c r="E231" s="235">
        <v>0</v>
      </c>
      <c r="F231" s="216">
        <f t="shared" si="20"/>
        <v>0.06</v>
      </c>
      <c r="G231" s="219"/>
      <c r="H231" s="219"/>
    </row>
    <row r="232" spans="3:8" s="202" customFormat="1" x14ac:dyDescent="0.25">
      <c r="C232" s="196" t="s">
        <v>276</v>
      </c>
      <c r="D232" s="232">
        <v>1.04</v>
      </c>
      <c r="E232" s="235">
        <v>-0.25</v>
      </c>
      <c r="F232" s="216">
        <f t="shared" si="20"/>
        <v>-0.19</v>
      </c>
      <c r="G232" s="219"/>
      <c r="H232" s="219"/>
    </row>
    <row r="233" spans="3:8" s="202" customFormat="1" x14ac:dyDescent="0.25">
      <c r="C233" s="196" t="s">
        <v>277</v>
      </c>
      <c r="D233" s="232">
        <v>1.04</v>
      </c>
      <c r="E233" s="235">
        <v>-0.1875</v>
      </c>
      <c r="F233" s="216">
        <f t="shared" si="20"/>
        <v>-0.1275</v>
      </c>
      <c r="G233" s="219"/>
      <c r="H233" s="219"/>
    </row>
    <row r="234" spans="3:8" s="202" customFormat="1" x14ac:dyDescent="0.25">
      <c r="C234" s="196" t="s">
        <v>367</v>
      </c>
      <c r="D234" s="232">
        <v>1.04</v>
      </c>
      <c r="E234" s="235">
        <v>-0.125</v>
      </c>
      <c r="F234" s="216">
        <f t="shared" si="20"/>
        <v>-6.5000000000000002E-2</v>
      </c>
      <c r="G234" s="219"/>
      <c r="H234" s="219"/>
    </row>
    <row r="235" spans="3:8" s="202" customFormat="1" x14ac:dyDescent="0.25">
      <c r="C235" s="201" t="s">
        <v>207</v>
      </c>
      <c r="D235" s="236">
        <v>1</v>
      </c>
      <c r="E235" s="235">
        <v>0</v>
      </c>
      <c r="F235" s="216">
        <f t="shared" si="20"/>
        <v>0.06</v>
      </c>
      <c r="G235" s="219"/>
      <c r="H235" s="219"/>
    </row>
    <row r="236" spans="3:8" s="202" customFormat="1" x14ac:dyDescent="0.25">
      <c r="C236" s="201" t="s">
        <v>198</v>
      </c>
      <c r="D236" s="232">
        <v>1.04</v>
      </c>
      <c r="E236" s="237">
        <f>-3/16</f>
        <v>-0.1875</v>
      </c>
      <c r="F236" s="216">
        <f t="shared" si="20"/>
        <v>-0.1275</v>
      </c>
      <c r="G236" s="219"/>
      <c r="H236" s="219"/>
    </row>
    <row r="237" spans="3:8" s="202" customFormat="1" x14ac:dyDescent="0.25">
      <c r="C237" s="201" t="s">
        <v>197</v>
      </c>
      <c r="D237" s="232">
        <v>1.04</v>
      </c>
      <c r="E237" s="235">
        <v>-0.1875</v>
      </c>
      <c r="F237" s="216">
        <f t="shared" si="20"/>
        <v>-0.1275</v>
      </c>
      <c r="G237" s="219"/>
      <c r="H237" s="219"/>
    </row>
    <row r="238" spans="3:8" s="202" customFormat="1" x14ac:dyDescent="0.25">
      <c r="C238" s="201" t="s">
        <v>366</v>
      </c>
      <c r="D238" s="232">
        <v>1.04</v>
      </c>
      <c r="E238" s="235">
        <v>0</v>
      </c>
      <c r="F238" s="216">
        <f t="shared" si="20"/>
        <v>0.06</v>
      </c>
      <c r="G238" s="219"/>
      <c r="H238" s="219"/>
    </row>
    <row r="239" spans="3:8" s="202" customFormat="1" x14ac:dyDescent="0.25">
      <c r="C239" s="196" t="s">
        <v>227</v>
      </c>
      <c r="D239" s="232">
        <v>1.04</v>
      </c>
      <c r="E239" s="237">
        <v>-6.25E-2</v>
      </c>
      <c r="F239" s="216">
        <f t="shared" si="20"/>
        <v>-2.5000000000000022E-3</v>
      </c>
      <c r="G239" s="219"/>
      <c r="H239" s="219"/>
    </row>
    <row r="240" spans="3:8" s="202" customFormat="1" x14ac:dyDescent="0.25">
      <c r="C240" s="196" t="s">
        <v>204</v>
      </c>
      <c r="D240" s="236">
        <v>1</v>
      </c>
      <c r="E240" s="237">
        <v>0</v>
      </c>
      <c r="F240" s="216">
        <f t="shared" ref="F240:F271" si="21">E240+$G$14</f>
        <v>0.06</v>
      </c>
      <c r="G240" s="219"/>
      <c r="H240" s="219"/>
    </row>
    <row r="241" spans="3:8" s="202" customFormat="1" x14ac:dyDescent="0.25">
      <c r="C241" s="196" t="s">
        <v>228</v>
      </c>
      <c r="D241" s="232">
        <v>1</v>
      </c>
      <c r="E241" s="237">
        <v>-0.1875</v>
      </c>
      <c r="F241" s="216">
        <f t="shared" si="21"/>
        <v>-0.1275</v>
      </c>
      <c r="G241" s="219"/>
      <c r="H241" s="219"/>
    </row>
    <row r="242" spans="3:8" s="202" customFormat="1" x14ac:dyDescent="0.25">
      <c r="C242" s="196" t="s">
        <v>226</v>
      </c>
      <c r="D242" s="232">
        <v>1.04</v>
      </c>
      <c r="E242" s="235">
        <v>-0.1875</v>
      </c>
      <c r="F242" s="216">
        <f t="shared" si="21"/>
        <v>-0.1275</v>
      </c>
      <c r="G242" s="219"/>
      <c r="H242" s="219"/>
    </row>
    <row r="243" spans="3:8" s="202" customFormat="1" x14ac:dyDescent="0.25">
      <c r="C243" s="196" t="s">
        <v>363</v>
      </c>
      <c r="D243" s="232">
        <v>1.04</v>
      </c>
      <c r="E243" s="235">
        <v>-0.1875</v>
      </c>
      <c r="F243" s="216">
        <f t="shared" si="21"/>
        <v>-0.1275</v>
      </c>
      <c r="G243" s="219"/>
      <c r="H243" s="219"/>
    </row>
    <row r="244" spans="3:8" s="202" customFormat="1" x14ac:dyDescent="0.25">
      <c r="C244" s="201" t="s">
        <v>231</v>
      </c>
      <c r="D244" s="232">
        <v>1</v>
      </c>
      <c r="E244" s="235">
        <v>-0.1875</v>
      </c>
      <c r="F244" s="216">
        <f t="shared" si="21"/>
        <v>-0.1275</v>
      </c>
      <c r="G244" s="219"/>
      <c r="H244" s="219"/>
    </row>
    <row r="245" spans="3:8" s="202" customFormat="1" x14ac:dyDescent="0.25">
      <c r="C245" s="201" t="s">
        <v>230</v>
      </c>
      <c r="D245" s="232">
        <v>1.04</v>
      </c>
      <c r="E245" s="235">
        <v>-0.1875</v>
      </c>
      <c r="F245" s="216">
        <f t="shared" si="21"/>
        <v>-0.1275</v>
      </c>
      <c r="G245" s="219"/>
      <c r="H245" s="219"/>
    </row>
    <row r="246" spans="3:8" s="202" customFormat="1" x14ac:dyDescent="0.25">
      <c r="C246" s="196" t="s">
        <v>225</v>
      </c>
      <c r="D246" s="232">
        <v>1.05</v>
      </c>
      <c r="E246" s="235">
        <v>0</v>
      </c>
      <c r="F246" s="216">
        <f t="shared" si="21"/>
        <v>0.06</v>
      </c>
      <c r="G246" s="219"/>
      <c r="H246" s="219"/>
    </row>
    <row r="247" spans="3:8" s="202" customFormat="1" x14ac:dyDescent="0.25">
      <c r="C247" s="196" t="s">
        <v>265</v>
      </c>
      <c r="D247" s="232">
        <v>1.04</v>
      </c>
      <c r="E247" s="235">
        <v>-0.125</v>
      </c>
      <c r="F247" s="216">
        <f t="shared" si="21"/>
        <v>-6.5000000000000002E-2</v>
      </c>
      <c r="G247" s="219"/>
      <c r="H247" s="219"/>
    </row>
    <row r="248" spans="3:8" s="202" customFormat="1" x14ac:dyDescent="0.25">
      <c r="C248" s="196" t="s">
        <v>321</v>
      </c>
      <c r="D248" s="232">
        <v>1.03</v>
      </c>
      <c r="E248" s="235">
        <v>-6.25E-2</v>
      </c>
      <c r="F248" s="216">
        <f t="shared" si="21"/>
        <v>-2.5000000000000022E-3</v>
      </c>
      <c r="G248" s="219"/>
      <c r="H248" s="219"/>
    </row>
    <row r="249" spans="3:8" s="202" customFormat="1" x14ac:dyDescent="0.25">
      <c r="C249" s="196" t="s">
        <v>262</v>
      </c>
      <c r="D249" s="232">
        <v>1</v>
      </c>
      <c r="E249" s="235">
        <v>9.7500000000000003E-2</v>
      </c>
      <c r="F249" s="216">
        <f t="shared" si="21"/>
        <v>0.1575</v>
      </c>
      <c r="G249" s="219"/>
      <c r="H249" s="219"/>
    </row>
    <row r="250" spans="3:8" s="202" customFormat="1" x14ac:dyDescent="0.25">
      <c r="C250" s="201" t="s">
        <v>229</v>
      </c>
      <c r="D250" s="232">
        <v>1.02</v>
      </c>
      <c r="E250" s="235">
        <v>0</v>
      </c>
      <c r="F250" s="216">
        <f t="shared" si="21"/>
        <v>0.06</v>
      </c>
      <c r="G250" s="219"/>
      <c r="H250" s="219"/>
    </row>
    <row r="251" spans="3:8" s="202" customFormat="1" x14ac:dyDescent="0.25">
      <c r="C251" s="201" t="s">
        <v>206</v>
      </c>
      <c r="D251" s="232">
        <v>1.04</v>
      </c>
      <c r="E251" s="235">
        <v>-6.25E-2</v>
      </c>
      <c r="F251" s="216">
        <f t="shared" si="21"/>
        <v>-2.5000000000000022E-3</v>
      </c>
      <c r="G251" s="219"/>
      <c r="H251" s="219"/>
    </row>
    <row r="252" spans="3:8" s="202" customFormat="1" x14ac:dyDescent="0.25">
      <c r="C252" s="196" t="s">
        <v>245</v>
      </c>
      <c r="D252" s="232">
        <v>1</v>
      </c>
      <c r="E252" s="235">
        <v>0.125</v>
      </c>
      <c r="F252" s="216">
        <f t="shared" si="21"/>
        <v>0.185</v>
      </c>
      <c r="G252" s="219"/>
      <c r="H252" s="219"/>
    </row>
    <row r="253" spans="3:8" s="202" customFormat="1" x14ac:dyDescent="0.25">
      <c r="C253" s="196" t="s">
        <v>254</v>
      </c>
      <c r="D253" s="232">
        <v>1</v>
      </c>
      <c r="E253" s="235">
        <v>0</v>
      </c>
      <c r="F253" s="216">
        <f t="shared" si="21"/>
        <v>0.06</v>
      </c>
      <c r="G253" s="219"/>
      <c r="H253" s="219"/>
    </row>
    <row r="254" spans="3:8" s="202" customFormat="1" x14ac:dyDescent="0.25">
      <c r="C254" s="196" t="s">
        <v>303</v>
      </c>
      <c r="D254" s="232">
        <v>1</v>
      </c>
      <c r="E254" s="235">
        <v>0</v>
      </c>
      <c r="F254" s="216">
        <f t="shared" si="21"/>
        <v>0.06</v>
      </c>
      <c r="G254" s="219"/>
      <c r="H254" s="219"/>
    </row>
    <row r="255" spans="3:8" s="202" customFormat="1" x14ac:dyDescent="0.25">
      <c r="C255" s="201" t="s">
        <v>195</v>
      </c>
      <c r="D255" s="236">
        <v>1</v>
      </c>
      <c r="E255" s="237">
        <f>1/8</f>
        <v>0.125</v>
      </c>
      <c r="F255" s="216">
        <f t="shared" si="21"/>
        <v>0.185</v>
      </c>
      <c r="G255" s="219"/>
      <c r="H255" s="219"/>
    </row>
    <row r="256" spans="3:8" s="202" customFormat="1" x14ac:dyDescent="0.25">
      <c r="C256" s="201" t="s">
        <v>236</v>
      </c>
      <c r="D256" s="232">
        <v>0.99</v>
      </c>
      <c r="E256" s="235">
        <v>0.125</v>
      </c>
      <c r="F256" s="216">
        <f t="shared" si="21"/>
        <v>0.185</v>
      </c>
      <c r="G256" s="219"/>
      <c r="H256" s="219"/>
    </row>
    <row r="257" spans="3:8" s="202" customFormat="1" x14ac:dyDescent="0.25">
      <c r="C257" s="201" t="s">
        <v>237</v>
      </c>
      <c r="D257" s="232">
        <v>1</v>
      </c>
      <c r="E257" s="235">
        <v>0.125</v>
      </c>
      <c r="F257" s="216">
        <f t="shared" si="21"/>
        <v>0.185</v>
      </c>
      <c r="G257" s="219"/>
      <c r="H257" s="219"/>
    </row>
    <row r="258" spans="3:8" s="202" customFormat="1" x14ac:dyDescent="0.25">
      <c r="C258" s="201" t="s">
        <v>234</v>
      </c>
      <c r="D258" s="232">
        <v>1.01</v>
      </c>
      <c r="E258" s="235">
        <v>0</v>
      </c>
      <c r="F258" s="216">
        <f t="shared" si="21"/>
        <v>0.06</v>
      </c>
      <c r="G258" s="219"/>
      <c r="H258" s="219"/>
    </row>
    <row r="259" spans="3:8" s="202" customFormat="1" x14ac:dyDescent="0.25">
      <c r="C259" s="201" t="s">
        <v>232</v>
      </c>
      <c r="D259" s="232">
        <v>1.04</v>
      </c>
      <c r="E259" s="235">
        <v>0.125</v>
      </c>
      <c r="F259" s="216">
        <f t="shared" si="21"/>
        <v>0.185</v>
      </c>
      <c r="G259" s="219"/>
      <c r="H259" s="219"/>
    </row>
    <row r="260" spans="3:8" s="202" customFormat="1" x14ac:dyDescent="0.25">
      <c r="C260" s="201" t="s">
        <v>233</v>
      </c>
      <c r="D260" s="232">
        <v>1.04</v>
      </c>
      <c r="E260" s="235">
        <v>0</v>
      </c>
      <c r="F260" s="216">
        <f t="shared" si="21"/>
        <v>0.06</v>
      </c>
      <c r="G260" s="219"/>
      <c r="H260" s="219"/>
    </row>
    <row r="261" spans="3:8" s="202" customFormat="1" x14ac:dyDescent="0.25">
      <c r="C261" s="201" t="s">
        <v>235</v>
      </c>
      <c r="D261" s="232">
        <v>0.98</v>
      </c>
      <c r="E261" s="235">
        <v>0.125</v>
      </c>
      <c r="F261" s="216">
        <f t="shared" si="21"/>
        <v>0.185</v>
      </c>
      <c r="G261" s="219"/>
      <c r="H261" s="219"/>
    </row>
    <row r="262" spans="3:8" s="202" customFormat="1" x14ac:dyDescent="0.25">
      <c r="C262" s="196" t="s">
        <v>252</v>
      </c>
      <c r="D262" s="232">
        <v>1.04</v>
      </c>
      <c r="E262" s="235">
        <v>-0.25</v>
      </c>
      <c r="F262" s="216">
        <f t="shared" si="21"/>
        <v>-0.19</v>
      </c>
      <c r="G262" s="219"/>
      <c r="H262" s="219"/>
    </row>
    <row r="263" spans="3:8" s="202" customFormat="1" x14ac:dyDescent="0.25">
      <c r="C263" s="196" t="s">
        <v>247</v>
      </c>
      <c r="D263" s="232">
        <v>1.04</v>
      </c>
      <c r="E263" s="235">
        <v>0</v>
      </c>
      <c r="F263" s="216">
        <f t="shared" si="21"/>
        <v>0.06</v>
      </c>
      <c r="G263" s="219"/>
      <c r="H263" s="219"/>
    </row>
    <row r="264" spans="3:8" s="202" customFormat="1" x14ac:dyDescent="0.25">
      <c r="C264" s="196" t="s">
        <v>285</v>
      </c>
      <c r="D264" s="232">
        <v>1.04</v>
      </c>
      <c r="E264" s="235">
        <v>-0.1875</v>
      </c>
      <c r="F264" s="216">
        <f t="shared" si="21"/>
        <v>-0.1275</v>
      </c>
      <c r="G264" s="219"/>
      <c r="H264" s="219"/>
    </row>
    <row r="265" spans="3:8" s="202" customFormat="1" x14ac:dyDescent="0.25">
      <c r="C265" s="201" t="s">
        <v>202</v>
      </c>
      <c r="D265" s="236">
        <v>1</v>
      </c>
      <c r="E265" s="235">
        <v>-6.25E-2</v>
      </c>
      <c r="F265" s="216">
        <f t="shared" si="21"/>
        <v>-2.5000000000000022E-3</v>
      </c>
      <c r="G265" s="219"/>
      <c r="H265" s="219"/>
    </row>
    <row r="266" spans="3:8" s="202" customFormat="1" x14ac:dyDescent="0.25">
      <c r="C266" s="201" t="s">
        <v>203</v>
      </c>
      <c r="D266" s="232">
        <v>1.04</v>
      </c>
      <c r="E266" s="235">
        <v>-0.125</v>
      </c>
      <c r="F266" s="216">
        <f t="shared" si="21"/>
        <v>-6.5000000000000002E-2</v>
      </c>
      <c r="G266" s="219"/>
      <c r="H266" s="219"/>
    </row>
    <row r="267" spans="3:8" s="202" customFormat="1" x14ac:dyDescent="0.25">
      <c r="C267" s="196" t="s">
        <v>270</v>
      </c>
      <c r="D267" s="232">
        <v>1</v>
      </c>
      <c r="E267" s="235">
        <v>0</v>
      </c>
      <c r="F267" s="216">
        <f t="shared" si="21"/>
        <v>0.06</v>
      </c>
      <c r="G267" s="219"/>
      <c r="H267" s="219"/>
    </row>
    <row r="268" spans="3:8" s="202" customFormat="1" x14ac:dyDescent="0.25">
      <c r="C268" s="196" t="s">
        <v>268</v>
      </c>
      <c r="D268" s="232">
        <v>1.04</v>
      </c>
      <c r="E268" s="235">
        <v>0</v>
      </c>
      <c r="F268" s="216">
        <f t="shared" si="21"/>
        <v>0.06</v>
      </c>
      <c r="G268" s="219"/>
      <c r="H268" s="219"/>
    </row>
    <row r="269" spans="3:8" s="202" customFormat="1" x14ac:dyDescent="0.25">
      <c r="C269" s="196" t="s">
        <v>253</v>
      </c>
      <c r="D269" s="232">
        <v>1</v>
      </c>
      <c r="E269" s="235">
        <v>0</v>
      </c>
      <c r="F269" s="216">
        <f t="shared" si="21"/>
        <v>0.06</v>
      </c>
      <c r="G269" s="219"/>
      <c r="H269" s="219"/>
    </row>
    <row r="270" spans="3:8" s="202" customFormat="1" x14ac:dyDescent="0.25">
      <c r="C270" s="196" t="s">
        <v>288</v>
      </c>
      <c r="D270" s="232">
        <v>1</v>
      </c>
      <c r="E270" s="235">
        <v>0</v>
      </c>
      <c r="F270" s="216">
        <f t="shared" si="21"/>
        <v>0.06</v>
      </c>
      <c r="G270" s="219"/>
      <c r="H270" s="219"/>
    </row>
    <row r="271" spans="3:8" s="202" customFormat="1" x14ac:dyDescent="0.25">
      <c r="C271" s="196" t="s">
        <v>250</v>
      </c>
      <c r="D271" s="232">
        <v>1.04</v>
      </c>
      <c r="E271" s="235">
        <v>0</v>
      </c>
      <c r="F271" s="216">
        <f t="shared" si="21"/>
        <v>0.06</v>
      </c>
      <c r="G271" s="219"/>
      <c r="H271" s="219"/>
    </row>
    <row r="272" spans="3:8" s="202" customFormat="1" x14ac:dyDescent="0.25">
      <c r="C272" s="196" t="s">
        <v>289</v>
      </c>
      <c r="D272" s="232">
        <v>1</v>
      </c>
      <c r="E272" s="235">
        <v>0</v>
      </c>
      <c r="F272" s="216">
        <f t="shared" ref="F272:F305" si="22">E272+$G$14</f>
        <v>0.06</v>
      </c>
      <c r="G272" s="219"/>
      <c r="H272" s="219"/>
    </row>
    <row r="273" spans="3:8" s="202" customFormat="1" x14ac:dyDescent="0.25">
      <c r="C273" s="196" t="s">
        <v>271</v>
      </c>
      <c r="D273" s="232">
        <v>1</v>
      </c>
      <c r="E273" s="235">
        <v>0</v>
      </c>
      <c r="F273" s="216">
        <f t="shared" si="22"/>
        <v>0.06</v>
      </c>
      <c r="G273" s="219"/>
      <c r="H273" s="219"/>
    </row>
    <row r="274" spans="3:8" s="202" customFormat="1" x14ac:dyDescent="0.25">
      <c r="C274" s="196" t="s">
        <v>272</v>
      </c>
      <c r="D274" s="232">
        <v>1.04</v>
      </c>
      <c r="E274" s="235">
        <v>0</v>
      </c>
      <c r="F274" s="216">
        <f t="shared" si="22"/>
        <v>0.06</v>
      </c>
      <c r="G274" s="219"/>
      <c r="H274" s="219"/>
    </row>
    <row r="275" spans="3:8" s="202" customFormat="1" x14ac:dyDescent="0.25">
      <c r="C275" s="196" t="s">
        <v>269</v>
      </c>
      <c r="D275" s="232">
        <v>1</v>
      </c>
      <c r="E275" s="235">
        <v>0</v>
      </c>
      <c r="F275" s="216">
        <f t="shared" si="22"/>
        <v>0.06</v>
      </c>
      <c r="G275" s="219"/>
      <c r="H275" s="219"/>
    </row>
    <row r="276" spans="3:8" s="202" customFormat="1" x14ac:dyDescent="0.25">
      <c r="C276" s="196" t="s">
        <v>279</v>
      </c>
      <c r="D276" s="232">
        <v>1</v>
      </c>
      <c r="E276" s="235">
        <v>0</v>
      </c>
      <c r="F276" s="216">
        <f t="shared" si="22"/>
        <v>0.06</v>
      </c>
      <c r="G276" s="219"/>
      <c r="H276" s="219"/>
    </row>
    <row r="277" spans="3:8" s="202" customFormat="1" x14ac:dyDescent="0.25">
      <c r="C277" s="196" t="s">
        <v>278</v>
      </c>
      <c r="D277" s="232">
        <v>1</v>
      </c>
      <c r="E277" s="235">
        <v>0</v>
      </c>
      <c r="F277" s="216">
        <f t="shared" si="22"/>
        <v>0.06</v>
      </c>
    </row>
    <row r="278" spans="3:8" s="202" customFormat="1" x14ac:dyDescent="0.25">
      <c r="C278" s="196" t="s">
        <v>280</v>
      </c>
      <c r="D278" s="232">
        <v>1</v>
      </c>
      <c r="E278" s="235">
        <v>0</v>
      </c>
      <c r="F278" s="216">
        <f t="shared" si="22"/>
        <v>0.06</v>
      </c>
    </row>
    <row r="279" spans="3:8" s="202" customFormat="1" x14ac:dyDescent="0.25">
      <c r="C279" s="196" t="s">
        <v>261</v>
      </c>
      <c r="D279" s="232">
        <v>1.01</v>
      </c>
      <c r="E279" s="235">
        <v>0</v>
      </c>
      <c r="F279" s="216">
        <f t="shared" si="22"/>
        <v>0.06</v>
      </c>
    </row>
    <row r="280" spans="3:8" s="202" customFormat="1" x14ac:dyDescent="0.25">
      <c r="C280" s="196" t="s">
        <v>201</v>
      </c>
      <c r="D280" s="232">
        <v>1.04</v>
      </c>
      <c r="E280" s="237">
        <v>-0.125</v>
      </c>
      <c r="F280" s="216">
        <f t="shared" si="22"/>
        <v>-6.5000000000000002E-2</v>
      </c>
    </row>
    <row r="281" spans="3:8" s="202" customFormat="1" x14ac:dyDescent="0.25">
      <c r="C281" s="196" t="s">
        <v>199</v>
      </c>
      <c r="D281" s="232">
        <v>1.04</v>
      </c>
      <c r="E281" s="235">
        <v>-0.125</v>
      </c>
      <c r="F281" s="216">
        <f t="shared" si="22"/>
        <v>-6.5000000000000002E-2</v>
      </c>
    </row>
    <row r="282" spans="3:8" s="202" customFormat="1" x14ac:dyDescent="0.25">
      <c r="C282" s="196" t="s">
        <v>369</v>
      </c>
      <c r="D282" s="232">
        <v>1.04</v>
      </c>
      <c r="E282" s="235">
        <v>-0.1875</v>
      </c>
      <c r="F282" s="216">
        <f t="shared" si="22"/>
        <v>-0.1275</v>
      </c>
    </row>
    <row r="283" spans="3:8" s="202" customFormat="1" x14ac:dyDescent="0.25">
      <c r="C283" s="196" t="s">
        <v>259</v>
      </c>
      <c r="D283" s="232">
        <v>1.04</v>
      </c>
      <c r="E283" s="235">
        <v>-0.75</v>
      </c>
      <c r="F283" s="216">
        <f t="shared" si="22"/>
        <v>-0.69</v>
      </c>
    </row>
    <row r="284" spans="3:8" s="202" customFormat="1" x14ac:dyDescent="0.25">
      <c r="C284" s="196" t="s">
        <v>370</v>
      </c>
      <c r="D284" s="232">
        <v>1</v>
      </c>
      <c r="E284" s="235">
        <v>0</v>
      </c>
      <c r="F284" s="216">
        <f t="shared" si="22"/>
        <v>0.06</v>
      </c>
    </row>
    <row r="285" spans="3:8" s="202" customFormat="1" x14ac:dyDescent="0.25">
      <c r="C285" s="196" t="s">
        <v>200</v>
      </c>
      <c r="D285" s="232">
        <v>1.04</v>
      </c>
      <c r="E285" s="235">
        <v>0</v>
      </c>
      <c r="F285" s="216">
        <f t="shared" si="22"/>
        <v>0.06</v>
      </c>
    </row>
    <row r="286" spans="3:8" s="202" customFormat="1" x14ac:dyDescent="0.25">
      <c r="C286" s="196" t="s">
        <v>256</v>
      </c>
      <c r="D286" s="232">
        <v>1.02</v>
      </c>
      <c r="E286" s="235">
        <v>-0.1875</v>
      </c>
      <c r="F286" s="216">
        <f t="shared" si="22"/>
        <v>-0.1275</v>
      </c>
    </row>
    <row r="287" spans="3:8" s="202" customFormat="1" x14ac:dyDescent="0.25">
      <c r="C287" s="196" t="s">
        <v>257</v>
      </c>
      <c r="D287" s="232">
        <v>1.05</v>
      </c>
      <c r="E287" s="235">
        <v>-0.1875</v>
      </c>
      <c r="F287" s="216">
        <f t="shared" si="22"/>
        <v>-0.1275</v>
      </c>
    </row>
    <row r="288" spans="3:8" s="202" customFormat="1" x14ac:dyDescent="0.25">
      <c r="C288" s="196" t="s">
        <v>224</v>
      </c>
      <c r="D288" s="232">
        <v>1.04</v>
      </c>
      <c r="E288" s="235">
        <v>-0.125</v>
      </c>
      <c r="F288" s="216">
        <f t="shared" si="22"/>
        <v>-6.5000000000000002E-2</v>
      </c>
    </row>
    <row r="289" spans="1:6" s="202" customFormat="1" x14ac:dyDescent="0.25">
      <c r="C289" s="196" t="s">
        <v>223</v>
      </c>
      <c r="D289" s="232">
        <v>1.04</v>
      </c>
      <c r="E289" s="235">
        <v>-6.25E-2</v>
      </c>
      <c r="F289" s="216">
        <f t="shared" si="22"/>
        <v>-2.5000000000000022E-3</v>
      </c>
    </row>
    <row r="290" spans="1:6" s="202" customFormat="1" x14ac:dyDescent="0.25">
      <c r="C290" s="196" t="s">
        <v>255</v>
      </c>
      <c r="D290" s="232">
        <v>1.04</v>
      </c>
      <c r="E290" s="235">
        <v>-0.125</v>
      </c>
      <c r="F290" s="216">
        <f t="shared" si="22"/>
        <v>-6.5000000000000002E-2</v>
      </c>
    </row>
    <row r="291" spans="1:6" s="202" customFormat="1" x14ac:dyDescent="0.25">
      <c r="C291" s="201" t="s">
        <v>205</v>
      </c>
      <c r="D291" s="232">
        <v>1.04</v>
      </c>
      <c r="E291" s="235">
        <v>-6.25E-2</v>
      </c>
      <c r="F291" s="216">
        <f t="shared" si="22"/>
        <v>-2.5000000000000022E-3</v>
      </c>
    </row>
    <row r="292" spans="1:6" s="202" customFormat="1" x14ac:dyDescent="0.25">
      <c r="C292" s="196" t="s">
        <v>275</v>
      </c>
      <c r="D292" s="232">
        <v>1.04</v>
      </c>
      <c r="E292" s="235">
        <v>-0.3125</v>
      </c>
      <c r="F292" s="216">
        <f t="shared" si="22"/>
        <v>-0.2525</v>
      </c>
    </row>
    <row r="293" spans="1:6" s="202" customFormat="1" x14ac:dyDescent="0.25">
      <c r="C293" s="196" t="s">
        <v>281</v>
      </c>
      <c r="D293" s="232">
        <v>1.04</v>
      </c>
      <c r="E293" s="235">
        <v>0</v>
      </c>
      <c r="F293" s="216">
        <f t="shared" si="22"/>
        <v>0.06</v>
      </c>
    </row>
    <row r="294" spans="1:6" s="202" customFormat="1" x14ac:dyDescent="0.25">
      <c r="C294" s="196" t="s">
        <v>286</v>
      </c>
      <c r="D294" s="232">
        <v>1.04</v>
      </c>
      <c r="E294" s="235">
        <v>0</v>
      </c>
      <c r="F294" s="216">
        <f t="shared" si="22"/>
        <v>0.06</v>
      </c>
    </row>
    <row r="295" spans="1:6" s="202" customFormat="1" x14ac:dyDescent="0.25">
      <c r="C295" s="196" t="s">
        <v>220</v>
      </c>
      <c r="D295" s="232">
        <v>1.04</v>
      </c>
      <c r="E295" s="235">
        <v>-6.25E-2</v>
      </c>
      <c r="F295" s="216">
        <f t="shared" si="22"/>
        <v>-2.5000000000000022E-3</v>
      </c>
    </row>
    <row r="296" spans="1:6" s="202" customFormat="1" x14ac:dyDescent="0.25">
      <c r="C296" s="196" t="s">
        <v>287</v>
      </c>
      <c r="D296" s="232">
        <v>0.99</v>
      </c>
      <c r="E296" s="235">
        <v>0.125</v>
      </c>
      <c r="F296" s="216">
        <f t="shared" si="22"/>
        <v>0.185</v>
      </c>
    </row>
    <row r="297" spans="1:6" s="202" customFormat="1" x14ac:dyDescent="0.25">
      <c r="C297" s="201" t="s">
        <v>194</v>
      </c>
      <c r="D297" s="232">
        <v>1.04</v>
      </c>
      <c r="E297" s="235">
        <v>0</v>
      </c>
      <c r="F297" s="216">
        <f t="shared" si="22"/>
        <v>0.06</v>
      </c>
    </row>
    <row r="298" spans="1:6" s="202" customFormat="1" x14ac:dyDescent="0.25">
      <c r="C298" s="196" t="s">
        <v>273</v>
      </c>
      <c r="D298" s="232">
        <v>1.04</v>
      </c>
      <c r="E298" s="235">
        <v>-0.1875</v>
      </c>
      <c r="F298" s="216">
        <f t="shared" si="22"/>
        <v>-0.1275</v>
      </c>
    </row>
    <row r="299" spans="1:6" s="202" customFormat="1" x14ac:dyDescent="0.25">
      <c r="C299" s="196" t="s">
        <v>365</v>
      </c>
      <c r="D299" s="232">
        <v>1</v>
      </c>
      <c r="E299" s="235">
        <v>-6.25E-2</v>
      </c>
      <c r="F299" s="216">
        <f t="shared" si="22"/>
        <v>-2.5000000000000022E-3</v>
      </c>
    </row>
    <row r="300" spans="1:6" s="202" customFormat="1" x14ac:dyDescent="0.25">
      <c r="C300" s="196" t="s">
        <v>364</v>
      </c>
      <c r="D300" s="232">
        <v>1.04</v>
      </c>
      <c r="E300" s="235">
        <v>-0.1875</v>
      </c>
      <c r="F300" s="216">
        <f t="shared" si="22"/>
        <v>-0.1275</v>
      </c>
    </row>
    <row r="301" spans="1:6" s="202" customFormat="1" x14ac:dyDescent="0.25">
      <c r="C301" s="196" t="s">
        <v>260</v>
      </c>
      <c r="D301" s="232">
        <v>1.04</v>
      </c>
      <c r="E301" s="235">
        <v>0</v>
      </c>
      <c r="F301" s="216">
        <f t="shared" si="22"/>
        <v>0.06</v>
      </c>
    </row>
    <row r="302" spans="1:6" s="202" customFormat="1" x14ac:dyDescent="0.25">
      <c r="A302" s="218"/>
      <c r="C302" s="196" t="s">
        <v>246</v>
      </c>
      <c r="D302" s="232">
        <v>1.04</v>
      </c>
      <c r="E302" s="235">
        <v>0</v>
      </c>
      <c r="F302" s="216">
        <f t="shared" si="22"/>
        <v>0.06</v>
      </c>
    </row>
    <row r="303" spans="1:6" s="202" customFormat="1" x14ac:dyDescent="0.25">
      <c r="C303" s="196" t="s">
        <v>304</v>
      </c>
      <c r="D303" s="232">
        <v>1</v>
      </c>
      <c r="E303" s="235">
        <v>0.125</v>
      </c>
      <c r="F303" s="216">
        <f t="shared" si="22"/>
        <v>0.185</v>
      </c>
    </row>
    <row r="304" spans="1:6" s="202" customFormat="1" x14ac:dyDescent="0.25">
      <c r="C304" s="196" t="s">
        <v>264</v>
      </c>
      <c r="D304" s="232">
        <v>1.05</v>
      </c>
      <c r="E304" s="235">
        <v>0</v>
      </c>
      <c r="F304" s="216">
        <f t="shared" si="22"/>
        <v>0.06</v>
      </c>
    </row>
    <row r="305" spans="3:8" s="202" customFormat="1" x14ac:dyDescent="0.25">
      <c r="C305" s="196" t="s">
        <v>267</v>
      </c>
      <c r="D305" s="232">
        <v>1.05</v>
      </c>
      <c r="E305" s="235">
        <v>0</v>
      </c>
      <c r="F305" s="216">
        <f t="shared" si="22"/>
        <v>0.06</v>
      </c>
    </row>
    <row r="306" spans="3:8" s="202" customFormat="1" x14ac:dyDescent="0.25">
      <c r="C306" s="196" t="s">
        <v>266</v>
      </c>
      <c r="D306" s="232">
        <v>1.04</v>
      </c>
      <c r="E306" s="235">
        <v>0</v>
      </c>
      <c r="F306" s="216">
        <f>E306+$G$14</f>
        <v>0.06</v>
      </c>
    </row>
    <row r="307" spans="3:8" s="202" customFormat="1" x14ac:dyDescent="0.25">
      <c r="C307" s="201"/>
      <c r="D307" s="232"/>
      <c r="E307" s="235"/>
      <c r="F307" s="216">
        <f>E307+$G$14</f>
        <v>0.06</v>
      </c>
    </row>
    <row r="308" spans="3:8" s="202" customFormat="1" x14ac:dyDescent="0.25">
      <c r="C308" s="219"/>
      <c r="D308" s="219"/>
      <c r="E308" s="219"/>
      <c r="F308" s="219"/>
      <c r="G308" s="219"/>
      <c r="H308" s="219"/>
    </row>
    <row r="309" spans="3:8" s="202" customFormat="1" x14ac:dyDescent="0.25">
      <c r="C309" s="219"/>
      <c r="D309" s="219"/>
      <c r="E309" s="219"/>
      <c r="F309" s="219"/>
      <c r="G309" s="219"/>
      <c r="H309" s="219"/>
    </row>
    <row r="310" spans="3:8" s="202" customFormat="1" x14ac:dyDescent="0.25">
      <c r="C310" s="219"/>
      <c r="D310" s="219"/>
      <c r="E310" s="219"/>
      <c r="F310" s="219"/>
      <c r="G310" s="219"/>
      <c r="H310" s="219"/>
    </row>
    <row r="311" spans="3:8" s="202" customFormat="1" x14ac:dyDescent="0.25">
      <c r="C311" s="219"/>
      <c r="D311" s="219"/>
      <c r="E311" s="219"/>
      <c r="F311" s="219"/>
      <c r="G311" s="219"/>
      <c r="H311" s="219"/>
    </row>
  </sheetData>
  <sheetProtection password="D767" sheet="1" selectLockedCells="1"/>
  <mergeCells count="42">
    <mergeCell ref="V81:W81"/>
    <mergeCell ref="V82:W82"/>
    <mergeCell ref="V83:W83"/>
    <mergeCell ref="Z80:AA80"/>
    <mergeCell ref="X83:Y83"/>
    <mergeCell ref="Z83:AA83"/>
    <mergeCell ref="X81:Y81"/>
    <mergeCell ref="Z81:AA81"/>
    <mergeCell ref="X82:Y82"/>
    <mergeCell ref="Z82:AA82"/>
    <mergeCell ref="X79:Y79"/>
    <mergeCell ref="Z79:AA79"/>
    <mergeCell ref="X80:Y80"/>
    <mergeCell ref="F19:G19"/>
    <mergeCell ref="N22:O22"/>
    <mergeCell ref="V17:AC20"/>
    <mergeCell ref="V79:W79"/>
    <mergeCell ref="V80:W80"/>
    <mergeCell ref="G10:G12"/>
    <mergeCell ref="F11:F12"/>
    <mergeCell ref="B17:C17"/>
    <mergeCell ref="B19:C19"/>
    <mergeCell ref="D19:E19"/>
    <mergeCell ref="F17:G17"/>
    <mergeCell ref="B18:C18"/>
    <mergeCell ref="D17:E17"/>
    <mergeCell ref="I7:I8"/>
    <mergeCell ref="I3:I4"/>
    <mergeCell ref="E11:E12"/>
    <mergeCell ref="F18:G18"/>
    <mergeCell ref="N21:O21"/>
    <mergeCell ref="D18:E18"/>
    <mergeCell ref="K21:L21"/>
    <mergeCell ref="L3:P3"/>
    <mergeCell ref="D8:F9"/>
    <mergeCell ref="H11:H12"/>
    <mergeCell ref="H14:I14"/>
    <mergeCell ref="C14:F15"/>
    <mergeCell ref="D11:D12"/>
    <mergeCell ref="L13:O13"/>
    <mergeCell ref="C11:C12"/>
    <mergeCell ref="I10:I12"/>
  </mergeCells>
  <phoneticPr fontId="1" type="noConversion"/>
  <conditionalFormatting sqref="M5:P5 P13:P14 N18 G13">
    <cfRule type="cellIs" dxfId="7" priority="82" stopIfTrue="1" operator="lessThan">
      <formula>0</formula>
    </cfRule>
  </conditionalFormatting>
  <conditionalFormatting sqref="C6:C8">
    <cfRule type="expression" dxfId="6" priority="5" stopIfTrue="1">
      <formula>OR($C$5="Wood Shaft",$C$5="Other")</formula>
    </cfRule>
  </conditionalFormatting>
  <conditionalFormatting sqref="G6:G7">
    <cfRule type="expression" dxfId="5" priority="2" stopIfTrue="1">
      <formula>$G$5="No"</formula>
    </cfRule>
  </conditionalFormatting>
  <conditionalFormatting sqref="I6">
    <cfRule type="expression" dxfId="4" priority="1" stopIfTrue="1">
      <formula>$I$5="Other"</formula>
    </cfRule>
  </conditionalFormatting>
  <conditionalFormatting sqref="G13">
    <cfRule type="expression" dxfId="3" priority="72" stopIfTrue="1">
      <formula>ISNUMBER((VLOOKUP(C13,C203:E307,3)))</formula>
    </cfRule>
  </conditionalFormatting>
  <conditionalFormatting sqref="G14">
    <cfRule type="expression" dxfId="2" priority="83" stopIfTrue="1">
      <formula>VLOOKUP(C13,C203:E307,3)="N/A"</formula>
    </cfRule>
  </conditionalFormatting>
  <dataValidations count="8">
    <dataValidation type="list" allowBlank="1" showInputMessage="1" showErrorMessage="1" sqref="H13">
      <formula1>$P$51:$P$57</formula1>
    </dataValidation>
    <dataValidation type="list" showInputMessage="1" showErrorMessage="1" sqref="G13">
      <formula1>$P$35:$P$50</formula1>
    </dataValidation>
    <dataValidation type="list" allowBlank="1" showInputMessage="1" showErrorMessage="1" sqref="G5">
      <formula1>$P$62:$P$63</formula1>
    </dataValidation>
    <dataValidation type="whole" allowBlank="1" showInputMessage="1" showErrorMessage="1" promptTitle="Personal Form Factor" prompt="Input a number from -15 to 15.   See instructions for specific detail on how to choose your unique calibration factor." sqref="P13:P14">
      <formula1>-15</formula1>
      <formula2>15</formula2>
    </dataValidation>
    <dataValidation type="list" allowBlank="1" showInputMessage="1" showErrorMessage="1" sqref="I5">
      <formula1>$P$23:$P$34</formula1>
    </dataValidation>
    <dataValidation showInputMessage="1" showErrorMessage="1" sqref="G14"/>
    <dataValidation type="list" allowBlank="1" showInputMessage="1" showErrorMessage="1" sqref="C13">
      <formula1>$C$203:$C$307</formula1>
    </dataValidation>
    <dataValidation type="list" allowBlank="1" showInputMessage="1" showErrorMessage="1" sqref="C5">
      <formula1>$C$23:$C$199</formula1>
    </dataValidation>
  </dataValidations>
  <pageMargins left="0.75" right="0.75" top="1" bottom="1" header="0.5" footer="0.5"/>
  <pageSetup orientation="portrait" r:id="rId1"/>
  <headerFooter alignWithMargins="0"/>
  <drawing r:id="rId2"/>
  <legacyDrawing r:id="rId3"/>
  <webPublishItems count="1">
    <webPublishItem id="22420" divId="Arrow Performance_22420" sourceType="sheet" destinationFile="C:\Documents and Settings\smiller\Desktop\Arrow Performance.htm"/>
  </webPublishItem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F106"/>
  <sheetViews>
    <sheetView showGridLines="0" zoomScale="91" zoomScaleNormal="91" workbookViewId="0">
      <pane ySplit="4" topLeftCell="A5" activePane="bottomLeft" state="frozen"/>
      <selection pane="bottomLeft" activeCell="B7" sqref="B7"/>
    </sheetView>
  </sheetViews>
  <sheetFormatPr defaultColWidth="9.109375" defaultRowHeight="13.2" x14ac:dyDescent="0.25"/>
  <cols>
    <col min="1" max="1" width="4.44140625" style="172" bestFit="1" customWidth="1"/>
    <col min="2" max="2" width="10.109375" style="173" customWidth="1"/>
    <col min="3" max="3" width="27.109375" style="174" customWidth="1"/>
    <col min="4" max="4" width="8.44140625" style="175" customWidth="1"/>
    <col min="5" max="5" width="11.6640625" style="172" customWidth="1"/>
    <col min="6" max="6" width="9.5546875" style="175" customWidth="1"/>
    <col min="7" max="7" width="9.5546875" style="176" customWidth="1"/>
    <col min="8" max="8" width="9.88671875" style="175" customWidth="1"/>
    <col min="9" max="9" width="9.109375" style="65"/>
    <col min="10" max="10" width="9.109375" style="177"/>
    <col min="11" max="11" width="9.109375" style="178"/>
    <col min="12" max="12" width="9.109375" style="179"/>
    <col min="13" max="14" width="9.109375" style="178"/>
    <col min="15" max="15" width="9.109375" style="65" customWidth="1"/>
    <col min="16" max="16" width="10" style="179" customWidth="1"/>
    <col min="17" max="17" width="12.6640625" style="178" customWidth="1"/>
    <col min="18" max="18" width="14.6640625" style="172" customWidth="1"/>
    <col min="19" max="19" width="16" style="172" customWidth="1"/>
    <col min="20" max="20" width="8.6640625" style="65" customWidth="1"/>
    <col min="21" max="21" width="21.5546875" style="65" customWidth="1"/>
    <col min="22" max="22" width="31.109375" style="174" customWidth="1"/>
    <col min="23" max="23" width="10" style="180" customWidth="1"/>
    <col min="24" max="24" width="18.109375" style="172" customWidth="1"/>
    <col min="25" max="25" width="10" style="181" customWidth="1"/>
    <col min="26" max="26" width="10" style="175" customWidth="1"/>
    <col min="27" max="28" width="10" style="181" customWidth="1"/>
    <col min="29" max="29" width="10" style="65" customWidth="1"/>
    <col min="30" max="30" width="11.6640625" style="181" customWidth="1"/>
    <col min="31" max="31" width="26.6640625" style="65" customWidth="1"/>
    <col min="32" max="16384" width="9.109375" style="65"/>
  </cols>
  <sheetData>
    <row r="1" spans="1:32" ht="47.25" customHeight="1" thickBot="1" x14ac:dyDescent="0.3">
      <c r="A1" s="297" t="s">
        <v>26</v>
      </c>
      <c r="B1" s="298"/>
      <c r="C1" s="298"/>
      <c r="D1" s="298"/>
      <c r="E1" s="298"/>
      <c r="F1" s="298"/>
      <c r="G1" s="298"/>
      <c r="H1" s="298"/>
      <c r="I1" s="298"/>
      <c r="J1" s="298"/>
      <c r="K1" s="298"/>
      <c r="L1" s="298"/>
      <c r="M1" s="298"/>
      <c r="N1" s="298"/>
      <c r="O1" s="298"/>
      <c r="P1" s="298"/>
      <c r="Q1" s="298"/>
      <c r="R1" s="298"/>
      <c r="S1" s="298"/>
      <c r="T1" s="298"/>
      <c r="U1" s="299"/>
      <c r="V1" s="297" t="s">
        <v>306</v>
      </c>
      <c r="W1" s="298"/>
      <c r="X1" s="298"/>
      <c r="Y1" s="298"/>
      <c r="Z1" s="298"/>
      <c r="AA1" s="298"/>
      <c r="AB1" s="298"/>
      <c r="AC1" s="298"/>
      <c r="AD1" s="299"/>
      <c r="AE1" s="63" t="s">
        <v>168</v>
      </c>
      <c r="AF1" s="64">
        <f>1.6*2</f>
        <v>3.2</v>
      </c>
    </row>
    <row r="2" spans="1:32" ht="20.25" customHeight="1" x14ac:dyDescent="0.25">
      <c r="A2" s="66"/>
      <c r="B2" s="67"/>
      <c r="C2" s="68"/>
      <c r="D2" s="69"/>
      <c r="E2" s="70"/>
      <c r="F2" s="300" t="s">
        <v>307</v>
      </c>
      <c r="G2" s="302" t="s">
        <v>308</v>
      </c>
      <c r="H2" s="304" t="s">
        <v>29</v>
      </c>
      <c r="I2" s="305"/>
      <c r="J2" s="306"/>
      <c r="K2" s="306"/>
      <c r="L2" s="306"/>
      <c r="M2" s="306"/>
      <c r="N2" s="306"/>
      <c r="O2" s="307"/>
      <c r="P2" s="302" t="s">
        <v>309</v>
      </c>
      <c r="Q2" s="66"/>
      <c r="R2" s="71"/>
      <c r="S2" s="309" t="s">
        <v>108</v>
      </c>
      <c r="T2" s="310"/>
      <c r="U2" s="311"/>
      <c r="V2" s="72"/>
      <c r="W2" s="312" t="s">
        <v>310</v>
      </c>
      <c r="X2" s="314" t="s">
        <v>311</v>
      </c>
      <c r="Y2" s="316" t="s">
        <v>318</v>
      </c>
      <c r="Z2" s="322" t="s">
        <v>320</v>
      </c>
      <c r="AA2" s="318" t="s">
        <v>319</v>
      </c>
      <c r="AB2" s="319"/>
      <c r="AC2" s="324" t="s">
        <v>312</v>
      </c>
      <c r="AD2" s="302" t="s">
        <v>313</v>
      </c>
      <c r="AE2" s="63" t="s">
        <v>161</v>
      </c>
      <c r="AF2" s="64">
        <f>2.3*2</f>
        <v>4.5999999999999996</v>
      </c>
    </row>
    <row r="3" spans="1:32" ht="20.25" customHeight="1" thickBot="1" x14ac:dyDescent="0.3">
      <c r="A3" s="73" t="s">
        <v>5</v>
      </c>
      <c r="B3" s="74" t="s">
        <v>314</v>
      </c>
      <c r="C3" s="75" t="s">
        <v>315</v>
      </c>
      <c r="D3" s="76" t="s">
        <v>316</v>
      </c>
      <c r="E3" s="77" t="s">
        <v>2</v>
      </c>
      <c r="F3" s="301"/>
      <c r="G3" s="303" t="s">
        <v>12</v>
      </c>
      <c r="H3" s="78" t="s">
        <v>3</v>
      </c>
      <c r="I3" s="79" t="s">
        <v>291</v>
      </c>
      <c r="J3" s="80" t="s">
        <v>0</v>
      </c>
      <c r="K3" s="80" t="s">
        <v>290</v>
      </c>
      <c r="L3" s="81" t="s">
        <v>28</v>
      </c>
      <c r="M3" s="82" t="s">
        <v>40</v>
      </c>
      <c r="N3" s="188" t="s">
        <v>371</v>
      </c>
      <c r="O3" s="83" t="s">
        <v>39</v>
      </c>
      <c r="P3" s="308"/>
      <c r="Q3" s="73" t="s">
        <v>7</v>
      </c>
      <c r="R3" s="84" t="s">
        <v>38</v>
      </c>
      <c r="S3" s="85" t="s">
        <v>1</v>
      </c>
      <c r="T3" s="86" t="s">
        <v>37</v>
      </c>
      <c r="U3" s="87" t="s">
        <v>372</v>
      </c>
      <c r="V3" s="88" t="s">
        <v>315</v>
      </c>
      <c r="W3" s="313"/>
      <c r="X3" s="315"/>
      <c r="Y3" s="317"/>
      <c r="Z3" s="323"/>
      <c r="AA3" s="320"/>
      <c r="AB3" s="321"/>
      <c r="AC3" s="325"/>
      <c r="AD3" s="326"/>
      <c r="AE3" s="63" t="s">
        <v>167</v>
      </c>
      <c r="AF3" s="64">
        <f>3.2*2</f>
        <v>6.4</v>
      </c>
    </row>
    <row r="4" spans="1:32" ht="28.5" customHeight="1" thickBot="1" x14ac:dyDescent="0.3">
      <c r="A4" s="295" t="s">
        <v>317</v>
      </c>
      <c r="B4" s="296"/>
      <c r="C4" s="243">
        <f>'Dynamic Spine Calculator'!C5</f>
        <v>1916</v>
      </c>
      <c r="D4" s="244">
        <f>VLOOKUP(C4,'Dynamic Spine Calculator'!C23:I200,7,FALSE)</f>
        <v>0.296875</v>
      </c>
      <c r="E4" s="238"/>
      <c r="F4" s="245">
        <f>VLOOKUP(C4,'Dynamic Spine Calculator'!C23:I200,3,FALSE)</f>
        <v>0.51149999999999995</v>
      </c>
      <c r="G4" s="246">
        <f>VLOOKUP(C4,'Dynamic Spine Calculator'!C23:I200,4,FALSE)</f>
        <v>50.830889540566965</v>
      </c>
      <c r="H4" s="247">
        <f>'Dynamic Spine Calculator'!D5</f>
        <v>30</v>
      </c>
      <c r="I4" s="248" t="str">
        <f>'Dynamic Spine Calculator'!G5</f>
        <v>No</v>
      </c>
      <c r="J4" s="249">
        <f>'Dynamic Spine Calculator'!E5</f>
        <v>90</v>
      </c>
      <c r="K4" s="249">
        <f>'Dynamic Spine Calculator'!F5</f>
        <v>16</v>
      </c>
      <c r="L4" s="250">
        <f>'Dynamic Spine Calculator'!H5</f>
        <v>15.5</v>
      </c>
      <c r="M4" s="251">
        <f>'Dynamic Spine Calculator'!N5</f>
        <v>8.5349493906540861</v>
      </c>
      <c r="N4" s="252">
        <f>VLOOKUP('Data Library'!C4,'Dynamic Spine Calculator'!C23:I200,6,FALSE)</f>
        <v>10.03448275862069</v>
      </c>
      <c r="O4" s="253">
        <f>'Dynamic Spine Calculator'!L5</f>
        <v>440.83448275862071</v>
      </c>
      <c r="P4" s="254">
        <f>'Dynamic Spine Calculator'!J5</f>
        <v>54.040927643336268</v>
      </c>
      <c r="Q4" s="239"/>
      <c r="R4" s="238"/>
      <c r="S4" s="249" t="str">
        <f>'Dynamic Spine Calculator'!I5</f>
        <v>Other</v>
      </c>
      <c r="T4" s="240"/>
      <c r="U4" s="241"/>
      <c r="V4" s="255" t="str">
        <f>'Dynamic Spine Calculator'!C13</f>
        <v>*Generic Recurve</v>
      </c>
      <c r="W4" s="256">
        <f>'Dynamic Spine Calculator'!D13</f>
        <v>38</v>
      </c>
      <c r="X4" s="256" t="str">
        <f>'Dynamic Spine Calculator'!H13</f>
        <v>FastFlight 16 strand</v>
      </c>
      <c r="Y4" s="257" t="str">
        <f>VLOOKUP(V4,'Dynamic Spine Calculator'!C203:F307,3,FALSE)</f>
        <v>N/A</v>
      </c>
      <c r="Z4" s="244" t="str">
        <f>IF(Y4="N/A","N/A",AB4-Y4)</f>
        <v>N/A</v>
      </c>
      <c r="AA4" s="257">
        <f>VLOOKUP(V4,'Dynamic Spine Calculator'!C203:F307,4,FALSE)</f>
        <v>-6.25E-2</v>
      </c>
      <c r="AB4" s="258">
        <f>VLOOKUP(V4,'Dynamic Spine Calculator'!C203:F307,4,FALSE)</f>
        <v>-6.25E-2</v>
      </c>
      <c r="AC4" s="242"/>
      <c r="AD4" s="259">
        <f>'Dynamic Spine Calculator'!I13</f>
        <v>50.508000000000003</v>
      </c>
      <c r="AE4" s="63" t="s">
        <v>162</v>
      </c>
      <c r="AF4" s="64">
        <f>1.6*3</f>
        <v>4.8000000000000007</v>
      </c>
    </row>
    <row r="5" spans="1:32" ht="20.25" customHeight="1" x14ac:dyDescent="0.25">
      <c r="A5" s="89">
        <v>1</v>
      </c>
      <c r="B5" s="90">
        <v>42688</v>
      </c>
      <c r="C5" s="91">
        <v>1916</v>
      </c>
      <c r="D5" s="92">
        <v>0.296875</v>
      </c>
      <c r="E5" s="93"/>
      <c r="F5" s="94">
        <v>0.51149999999999995</v>
      </c>
      <c r="G5" s="95">
        <v>50.830889540566965</v>
      </c>
      <c r="H5" s="96">
        <v>30</v>
      </c>
      <c r="I5" s="97" t="s">
        <v>101</v>
      </c>
      <c r="J5" s="98">
        <v>75</v>
      </c>
      <c r="K5" s="98">
        <v>0</v>
      </c>
      <c r="L5" s="99">
        <v>15.5</v>
      </c>
      <c r="M5" s="100">
        <v>3.8761109980324266</v>
      </c>
      <c r="N5" s="189">
        <v>10.03448275862069</v>
      </c>
      <c r="O5" s="101">
        <v>423.5344827586207</v>
      </c>
      <c r="P5" s="102">
        <v>67.678411532846908</v>
      </c>
      <c r="Q5" s="103"/>
      <c r="R5" s="93"/>
      <c r="S5" s="104" t="s">
        <v>170</v>
      </c>
      <c r="T5" s="104"/>
      <c r="U5" s="105"/>
      <c r="V5" s="106" t="s">
        <v>209</v>
      </c>
      <c r="W5" s="107">
        <v>28</v>
      </c>
      <c r="X5" s="107" t="s">
        <v>123</v>
      </c>
      <c r="Y5" s="108" t="s">
        <v>4</v>
      </c>
      <c r="Z5" s="185" t="s">
        <v>4</v>
      </c>
      <c r="AA5" s="108">
        <v>-0.125</v>
      </c>
      <c r="AB5" s="182">
        <v>-0.125</v>
      </c>
      <c r="AC5" s="109"/>
      <c r="AD5" s="110">
        <v>44.847999999999999</v>
      </c>
      <c r="AE5" s="63" t="s">
        <v>163</v>
      </c>
      <c r="AF5" s="64">
        <f>2.3*3</f>
        <v>6.8999999999999995</v>
      </c>
    </row>
    <row r="6" spans="1:32" ht="20.25" customHeight="1" x14ac:dyDescent="0.25">
      <c r="A6" s="111">
        <v>2</v>
      </c>
      <c r="B6" s="112">
        <v>42688</v>
      </c>
      <c r="C6" s="113" t="s">
        <v>139</v>
      </c>
      <c r="D6" s="114">
        <v>0.23</v>
      </c>
      <c r="E6" s="115"/>
      <c r="F6" s="116">
        <v>0.54449999999999998</v>
      </c>
      <c r="G6" s="117">
        <v>47.750229568411385</v>
      </c>
      <c r="H6" s="118">
        <v>30</v>
      </c>
      <c r="I6" s="119" t="s">
        <v>101</v>
      </c>
      <c r="J6" s="120">
        <v>100</v>
      </c>
      <c r="K6" s="120">
        <v>0</v>
      </c>
      <c r="L6" s="121">
        <v>15.5</v>
      </c>
      <c r="M6" s="122">
        <v>8.3695127834056926</v>
      </c>
      <c r="N6" s="190">
        <v>6.6</v>
      </c>
      <c r="O6" s="123">
        <v>345.5</v>
      </c>
      <c r="P6" s="124">
        <v>55.309919954259584</v>
      </c>
      <c r="Q6" s="125"/>
      <c r="R6" s="115"/>
      <c r="S6" s="126" t="s">
        <v>170</v>
      </c>
      <c r="T6" s="126"/>
      <c r="U6" s="127"/>
      <c r="V6" s="128" t="s">
        <v>209</v>
      </c>
      <c r="W6" s="129">
        <v>36</v>
      </c>
      <c r="X6" s="129" t="s">
        <v>123</v>
      </c>
      <c r="Y6" s="130" t="s">
        <v>4</v>
      </c>
      <c r="Z6" s="186" t="s">
        <v>4</v>
      </c>
      <c r="AA6" s="130">
        <v>-0.125</v>
      </c>
      <c r="AB6" s="183">
        <v>-0.125</v>
      </c>
      <c r="AC6" s="131"/>
      <c r="AD6" s="132">
        <v>53.375999999999998</v>
      </c>
      <c r="AE6" s="63" t="s">
        <v>164</v>
      </c>
      <c r="AF6" s="64">
        <f>3.2*3</f>
        <v>9.6000000000000014</v>
      </c>
    </row>
    <row r="7" spans="1:32" ht="20.25" customHeight="1" x14ac:dyDescent="0.25">
      <c r="A7" s="133">
        <v>3</v>
      </c>
      <c r="B7" s="134"/>
      <c r="C7" s="135"/>
      <c r="D7" s="136"/>
      <c r="E7" s="137"/>
      <c r="F7" s="138"/>
      <c r="G7" s="139"/>
      <c r="H7" s="140"/>
      <c r="I7" s="141"/>
      <c r="J7" s="142"/>
      <c r="K7" s="142"/>
      <c r="L7" s="143"/>
      <c r="M7" s="144"/>
      <c r="N7" s="191"/>
      <c r="O7" s="145"/>
      <c r="P7" s="146"/>
      <c r="Q7" s="147"/>
      <c r="R7" s="137"/>
      <c r="S7" s="148"/>
      <c r="T7" s="148"/>
      <c r="U7" s="149"/>
      <c r="V7" s="128"/>
      <c r="W7" s="129"/>
      <c r="X7" s="129"/>
      <c r="Y7" s="130"/>
      <c r="Z7" s="186"/>
      <c r="AA7" s="130"/>
      <c r="AB7" s="183"/>
      <c r="AC7" s="131"/>
      <c r="AD7" s="132"/>
      <c r="AE7" s="63" t="s">
        <v>169</v>
      </c>
      <c r="AF7" s="64">
        <f>1.6*4</f>
        <v>6.4</v>
      </c>
    </row>
    <row r="8" spans="1:32" ht="20.25" customHeight="1" x14ac:dyDescent="0.25">
      <c r="A8" s="111">
        <v>4</v>
      </c>
      <c r="B8" s="112"/>
      <c r="C8" s="113"/>
      <c r="D8" s="114"/>
      <c r="E8" s="115"/>
      <c r="F8" s="116"/>
      <c r="G8" s="117"/>
      <c r="H8" s="118"/>
      <c r="I8" s="119"/>
      <c r="J8" s="120"/>
      <c r="K8" s="120"/>
      <c r="L8" s="121"/>
      <c r="M8" s="122"/>
      <c r="N8" s="190"/>
      <c r="O8" s="123"/>
      <c r="P8" s="124"/>
      <c r="Q8" s="125"/>
      <c r="R8" s="115"/>
      <c r="S8" s="126"/>
      <c r="T8" s="126"/>
      <c r="U8" s="127"/>
      <c r="V8" s="128"/>
      <c r="W8" s="129"/>
      <c r="X8" s="129"/>
      <c r="Y8" s="130"/>
      <c r="Z8" s="186"/>
      <c r="AA8" s="130"/>
      <c r="AB8" s="183"/>
      <c r="AC8" s="131"/>
      <c r="AD8" s="132"/>
      <c r="AE8" s="63" t="s">
        <v>165</v>
      </c>
      <c r="AF8" s="64">
        <f>2.3*4</f>
        <v>9.1999999999999993</v>
      </c>
    </row>
    <row r="9" spans="1:32" ht="20.25" customHeight="1" x14ac:dyDescent="0.25">
      <c r="A9" s="133">
        <v>5</v>
      </c>
      <c r="B9" s="134"/>
      <c r="C9" s="135"/>
      <c r="D9" s="136"/>
      <c r="E9" s="137"/>
      <c r="F9" s="138"/>
      <c r="G9" s="139"/>
      <c r="H9" s="140"/>
      <c r="I9" s="141"/>
      <c r="J9" s="142"/>
      <c r="K9" s="142"/>
      <c r="L9" s="143"/>
      <c r="M9" s="144"/>
      <c r="N9" s="191"/>
      <c r="O9" s="145"/>
      <c r="P9" s="146"/>
      <c r="Q9" s="147"/>
      <c r="R9" s="137"/>
      <c r="S9" s="148"/>
      <c r="T9" s="148"/>
      <c r="U9" s="149"/>
      <c r="V9" s="128"/>
      <c r="W9" s="129"/>
      <c r="X9" s="129"/>
      <c r="Y9" s="130"/>
      <c r="Z9" s="186"/>
      <c r="AA9" s="130"/>
      <c r="AB9" s="183"/>
      <c r="AC9" s="131"/>
      <c r="AD9" s="132"/>
      <c r="AE9" s="63" t="s">
        <v>166</v>
      </c>
      <c r="AF9" s="64">
        <f>3.2*4</f>
        <v>12.8</v>
      </c>
    </row>
    <row r="10" spans="1:32" ht="20.25" customHeight="1" x14ac:dyDescent="0.25">
      <c r="A10" s="111">
        <v>6</v>
      </c>
      <c r="B10" s="112"/>
      <c r="C10" s="113"/>
      <c r="D10" s="114"/>
      <c r="E10" s="115"/>
      <c r="F10" s="116"/>
      <c r="G10" s="117"/>
      <c r="H10" s="118"/>
      <c r="I10" s="119"/>
      <c r="J10" s="120"/>
      <c r="K10" s="120"/>
      <c r="L10" s="121"/>
      <c r="M10" s="122"/>
      <c r="N10" s="190"/>
      <c r="O10" s="123"/>
      <c r="P10" s="124"/>
      <c r="Q10" s="125"/>
      <c r="R10" s="115"/>
      <c r="S10" s="126"/>
      <c r="T10" s="126"/>
      <c r="U10" s="127"/>
      <c r="V10" s="128"/>
      <c r="W10" s="129"/>
      <c r="X10" s="129"/>
      <c r="Y10" s="130"/>
      <c r="Z10" s="186"/>
      <c r="AA10" s="130"/>
      <c r="AB10" s="183"/>
      <c r="AC10" s="131"/>
      <c r="AD10" s="132"/>
      <c r="AE10" s="63" t="s">
        <v>153</v>
      </c>
      <c r="AF10" s="64">
        <v>0</v>
      </c>
    </row>
    <row r="11" spans="1:32" ht="20.25" customHeight="1" x14ac:dyDescent="0.25">
      <c r="A11" s="133">
        <v>7</v>
      </c>
      <c r="B11" s="134"/>
      <c r="C11" s="135"/>
      <c r="D11" s="136"/>
      <c r="E11" s="137"/>
      <c r="F11" s="138"/>
      <c r="G11" s="139"/>
      <c r="H11" s="140"/>
      <c r="I11" s="141"/>
      <c r="J11" s="142"/>
      <c r="K11" s="142"/>
      <c r="L11" s="143"/>
      <c r="M11" s="144"/>
      <c r="N11" s="191"/>
      <c r="O11" s="145"/>
      <c r="P11" s="146"/>
      <c r="Q11" s="147"/>
      <c r="R11" s="137"/>
      <c r="S11" s="148"/>
      <c r="T11" s="148"/>
      <c r="U11" s="149"/>
      <c r="V11" s="128"/>
      <c r="W11" s="129"/>
      <c r="X11" s="129"/>
      <c r="Y11" s="130"/>
      <c r="Z11" s="186"/>
      <c r="AA11" s="130"/>
      <c r="AB11" s="183"/>
      <c r="AC11" s="131"/>
      <c r="AD11" s="132"/>
      <c r="AE11" s="63" t="s">
        <v>170</v>
      </c>
      <c r="AF11" s="64">
        <v>32</v>
      </c>
    </row>
    <row r="12" spans="1:32" ht="20.25" customHeight="1" x14ac:dyDescent="0.25">
      <c r="A12" s="111">
        <v>8</v>
      </c>
      <c r="B12" s="112"/>
      <c r="C12" s="113"/>
      <c r="D12" s="114"/>
      <c r="E12" s="115"/>
      <c r="F12" s="116"/>
      <c r="G12" s="117"/>
      <c r="H12" s="118"/>
      <c r="I12" s="119"/>
      <c r="J12" s="120"/>
      <c r="K12" s="120"/>
      <c r="L12" s="121"/>
      <c r="M12" s="122"/>
      <c r="N12" s="190"/>
      <c r="O12" s="123"/>
      <c r="P12" s="124"/>
      <c r="Q12" s="125"/>
      <c r="R12" s="115"/>
      <c r="S12" s="126"/>
      <c r="T12" s="126"/>
      <c r="U12" s="127"/>
      <c r="V12" s="128"/>
      <c r="W12" s="129"/>
      <c r="X12" s="129"/>
      <c r="Y12" s="130"/>
      <c r="Z12" s="186"/>
      <c r="AA12" s="130"/>
      <c r="AB12" s="183"/>
      <c r="AC12" s="131"/>
      <c r="AD12" s="132"/>
      <c r="AE12" s="63"/>
      <c r="AF12" s="64"/>
    </row>
    <row r="13" spans="1:32" ht="20.25" customHeight="1" x14ac:dyDescent="0.25">
      <c r="A13" s="133">
        <v>9</v>
      </c>
      <c r="B13" s="134"/>
      <c r="C13" s="135"/>
      <c r="D13" s="136"/>
      <c r="E13" s="137"/>
      <c r="F13" s="138"/>
      <c r="G13" s="139"/>
      <c r="H13" s="140"/>
      <c r="I13" s="141"/>
      <c r="J13" s="142"/>
      <c r="K13" s="142"/>
      <c r="L13" s="143"/>
      <c r="M13" s="144"/>
      <c r="N13" s="191"/>
      <c r="O13" s="145"/>
      <c r="P13" s="146"/>
      <c r="Q13" s="147"/>
      <c r="R13" s="137"/>
      <c r="S13" s="148"/>
      <c r="T13" s="148"/>
      <c r="U13" s="149"/>
      <c r="V13" s="128"/>
      <c r="W13" s="129"/>
      <c r="X13" s="129"/>
      <c r="Y13" s="130"/>
      <c r="Z13" s="186"/>
      <c r="AA13" s="130"/>
      <c r="AB13" s="183"/>
      <c r="AC13" s="131"/>
      <c r="AD13" s="132"/>
      <c r="AE13" s="63"/>
      <c r="AF13" s="64"/>
    </row>
    <row r="14" spans="1:32" ht="20.25" customHeight="1" x14ac:dyDescent="0.25">
      <c r="A14" s="111">
        <v>10</v>
      </c>
      <c r="B14" s="112"/>
      <c r="C14" s="113"/>
      <c r="D14" s="114"/>
      <c r="E14" s="115"/>
      <c r="F14" s="116"/>
      <c r="G14" s="117"/>
      <c r="H14" s="118"/>
      <c r="I14" s="119"/>
      <c r="J14" s="120"/>
      <c r="K14" s="120"/>
      <c r="L14" s="121"/>
      <c r="M14" s="122"/>
      <c r="N14" s="190"/>
      <c r="O14" s="123"/>
      <c r="P14" s="124"/>
      <c r="Q14" s="125"/>
      <c r="R14" s="115"/>
      <c r="S14" s="126"/>
      <c r="T14" s="126"/>
      <c r="U14" s="127"/>
      <c r="V14" s="128"/>
      <c r="W14" s="129"/>
      <c r="X14" s="129"/>
      <c r="Y14" s="130"/>
      <c r="Z14" s="186"/>
      <c r="AA14" s="130"/>
      <c r="AB14" s="183"/>
      <c r="AC14" s="131"/>
      <c r="AD14" s="132"/>
      <c r="AE14" s="63"/>
      <c r="AF14" s="64"/>
    </row>
    <row r="15" spans="1:32" ht="20.25" customHeight="1" x14ac:dyDescent="0.25">
      <c r="A15" s="133">
        <v>11</v>
      </c>
      <c r="B15" s="134"/>
      <c r="C15" s="135"/>
      <c r="D15" s="136"/>
      <c r="E15" s="137"/>
      <c r="F15" s="138"/>
      <c r="G15" s="139"/>
      <c r="H15" s="140"/>
      <c r="I15" s="141"/>
      <c r="J15" s="142"/>
      <c r="K15" s="142"/>
      <c r="L15" s="143"/>
      <c r="M15" s="144"/>
      <c r="N15" s="191"/>
      <c r="O15" s="145"/>
      <c r="P15" s="146"/>
      <c r="Q15" s="147"/>
      <c r="R15" s="137"/>
      <c r="S15" s="148"/>
      <c r="T15" s="148"/>
      <c r="U15" s="149"/>
      <c r="V15" s="128"/>
      <c r="W15" s="129"/>
      <c r="X15" s="129"/>
      <c r="Y15" s="130"/>
      <c r="Z15" s="186"/>
      <c r="AA15" s="130"/>
      <c r="AB15" s="183"/>
      <c r="AC15" s="131"/>
      <c r="AD15" s="132"/>
      <c r="AE15" s="63"/>
      <c r="AF15" s="64"/>
    </row>
    <row r="16" spans="1:32" ht="20.25" customHeight="1" x14ac:dyDescent="0.25">
      <c r="A16" s="111">
        <v>12</v>
      </c>
      <c r="B16" s="112"/>
      <c r="C16" s="113"/>
      <c r="D16" s="114"/>
      <c r="E16" s="115"/>
      <c r="F16" s="116"/>
      <c r="G16" s="117"/>
      <c r="H16" s="118"/>
      <c r="I16" s="119"/>
      <c r="J16" s="120"/>
      <c r="K16" s="120"/>
      <c r="L16" s="121"/>
      <c r="M16" s="122"/>
      <c r="N16" s="190"/>
      <c r="O16" s="123"/>
      <c r="P16" s="124"/>
      <c r="Q16" s="125"/>
      <c r="R16" s="115"/>
      <c r="S16" s="126"/>
      <c r="T16" s="126"/>
      <c r="U16" s="127"/>
      <c r="V16" s="128"/>
      <c r="W16" s="129"/>
      <c r="X16" s="129"/>
      <c r="Y16" s="130"/>
      <c r="Z16" s="186"/>
      <c r="AA16" s="130"/>
      <c r="AB16" s="183"/>
      <c r="AC16" s="131"/>
      <c r="AD16" s="132"/>
      <c r="AE16" s="63"/>
      <c r="AF16" s="64"/>
    </row>
    <row r="17" spans="1:32" ht="20.25" customHeight="1" x14ac:dyDescent="0.25">
      <c r="A17" s="133">
        <v>13</v>
      </c>
      <c r="B17" s="134"/>
      <c r="C17" s="135"/>
      <c r="D17" s="136"/>
      <c r="E17" s="137"/>
      <c r="F17" s="138"/>
      <c r="G17" s="139"/>
      <c r="H17" s="140"/>
      <c r="I17" s="141"/>
      <c r="J17" s="142"/>
      <c r="K17" s="142"/>
      <c r="L17" s="143"/>
      <c r="M17" s="144"/>
      <c r="N17" s="191"/>
      <c r="O17" s="145"/>
      <c r="P17" s="146"/>
      <c r="Q17" s="147"/>
      <c r="R17" s="137"/>
      <c r="S17" s="148"/>
      <c r="T17" s="148"/>
      <c r="U17" s="149"/>
      <c r="V17" s="128"/>
      <c r="W17" s="129"/>
      <c r="X17" s="129"/>
      <c r="Y17" s="130"/>
      <c r="Z17" s="186"/>
      <c r="AA17" s="130"/>
      <c r="AB17" s="183"/>
      <c r="AC17" s="131"/>
      <c r="AD17" s="132"/>
      <c r="AE17" s="63"/>
      <c r="AF17" s="64"/>
    </row>
    <row r="18" spans="1:32" ht="20.25" customHeight="1" x14ac:dyDescent="0.25">
      <c r="A18" s="111">
        <v>14</v>
      </c>
      <c r="B18" s="112"/>
      <c r="C18" s="113"/>
      <c r="D18" s="114"/>
      <c r="E18" s="115"/>
      <c r="F18" s="116"/>
      <c r="G18" s="117"/>
      <c r="H18" s="118"/>
      <c r="I18" s="119"/>
      <c r="J18" s="120"/>
      <c r="K18" s="120"/>
      <c r="L18" s="121"/>
      <c r="M18" s="122"/>
      <c r="N18" s="190"/>
      <c r="O18" s="123"/>
      <c r="P18" s="124"/>
      <c r="Q18" s="125"/>
      <c r="R18" s="115"/>
      <c r="S18" s="126"/>
      <c r="T18" s="126"/>
      <c r="U18" s="127"/>
      <c r="V18" s="128"/>
      <c r="W18" s="129"/>
      <c r="X18" s="129"/>
      <c r="Y18" s="130"/>
      <c r="Z18" s="186"/>
      <c r="AA18" s="130"/>
      <c r="AB18" s="183"/>
      <c r="AC18" s="131"/>
      <c r="AD18" s="132"/>
      <c r="AE18" s="63"/>
      <c r="AF18" s="64"/>
    </row>
    <row r="19" spans="1:32" ht="20.25" customHeight="1" x14ac:dyDescent="0.25">
      <c r="A19" s="133">
        <v>15</v>
      </c>
      <c r="B19" s="134"/>
      <c r="C19" s="135"/>
      <c r="D19" s="136"/>
      <c r="E19" s="137"/>
      <c r="F19" s="138"/>
      <c r="G19" s="139"/>
      <c r="H19" s="140"/>
      <c r="I19" s="141"/>
      <c r="J19" s="142"/>
      <c r="K19" s="142"/>
      <c r="L19" s="143"/>
      <c r="M19" s="144"/>
      <c r="N19" s="191"/>
      <c r="O19" s="145"/>
      <c r="P19" s="146"/>
      <c r="Q19" s="147"/>
      <c r="R19" s="137"/>
      <c r="S19" s="148"/>
      <c r="T19" s="148"/>
      <c r="U19" s="149"/>
      <c r="V19" s="128"/>
      <c r="W19" s="129"/>
      <c r="X19" s="129"/>
      <c r="Y19" s="130"/>
      <c r="Z19" s="186"/>
      <c r="AA19" s="130"/>
      <c r="AB19" s="183"/>
      <c r="AC19" s="131"/>
      <c r="AD19" s="132"/>
      <c r="AE19" s="63"/>
      <c r="AF19" s="64"/>
    </row>
    <row r="20" spans="1:32" ht="20.25" customHeight="1" x14ac:dyDescent="0.25">
      <c r="A20" s="111">
        <v>16</v>
      </c>
      <c r="B20" s="112"/>
      <c r="C20" s="113"/>
      <c r="D20" s="114"/>
      <c r="E20" s="115"/>
      <c r="F20" s="116"/>
      <c r="G20" s="117"/>
      <c r="H20" s="118"/>
      <c r="I20" s="119"/>
      <c r="J20" s="120"/>
      <c r="K20" s="120"/>
      <c r="L20" s="121"/>
      <c r="M20" s="122"/>
      <c r="N20" s="190"/>
      <c r="O20" s="123"/>
      <c r="P20" s="124"/>
      <c r="Q20" s="125"/>
      <c r="R20" s="115"/>
      <c r="S20" s="126"/>
      <c r="T20" s="126"/>
      <c r="U20" s="127"/>
      <c r="V20" s="128"/>
      <c r="W20" s="129"/>
      <c r="X20" s="129"/>
      <c r="Y20" s="130"/>
      <c r="Z20" s="186"/>
      <c r="AA20" s="130"/>
      <c r="AB20" s="183"/>
      <c r="AC20" s="131"/>
      <c r="AD20" s="132"/>
      <c r="AE20" s="63"/>
      <c r="AF20" s="64"/>
    </row>
    <row r="21" spans="1:32" ht="20.25" customHeight="1" x14ac:dyDescent="0.25">
      <c r="A21" s="133">
        <v>17</v>
      </c>
      <c r="B21" s="134"/>
      <c r="C21" s="135"/>
      <c r="D21" s="136"/>
      <c r="E21" s="137"/>
      <c r="F21" s="138"/>
      <c r="G21" s="139"/>
      <c r="H21" s="140"/>
      <c r="I21" s="141"/>
      <c r="J21" s="142"/>
      <c r="K21" s="142"/>
      <c r="L21" s="143"/>
      <c r="M21" s="144"/>
      <c r="N21" s="191"/>
      <c r="O21" s="145"/>
      <c r="P21" s="146"/>
      <c r="Q21" s="147"/>
      <c r="R21" s="137"/>
      <c r="S21" s="148"/>
      <c r="T21" s="148"/>
      <c r="U21" s="149"/>
      <c r="V21" s="128"/>
      <c r="W21" s="129"/>
      <c r="X21" s="129"/>
      <c r="Y21" s="130"/>
      <c r="Z21" s="186"/>
      <c r="AA21" s="130"/>
      <c r="AB21" s="183"/>
      <c r="AC21" s="131"/>
      <c r="AD21" s="132"/>
      <c r="AE21" s="63"/>
      <c r="AF21" s="64"/>
    </row>
    <row r="22" spans="1:32" ht="20.25" customHeight="1" x14ac:dyDescent="0.25">
      <c r="A22" s="111">
        <v>18</v>
      </c>
      <c r="B22" s="112"/>
      <c r="C22" s="113"/>
      <c r="D22" s="114"/>
      <c r="E22" s="115"/>
      <c r="F22" s="116"/>
      <c r="G22" s="117"/>
      <c r="H22" s="118"/>
      <c r="I22" s="119"/>
      <c r="J22" s="120"/>
      <c r="K22" s="120"/>
      <c r="L22" s="121"/>
      <c r="M22" s="122"/>
      <c r="N22" s="190"/>
      <c r="O22" s="123"/>
      <c r="P22" s="124"/>
      <c r="Q22" s="125"/>
      <c r="R22" s="115"/>
      <c r="S22" s="126"/>
      <c r="T22" s="126"/>
      <c r="U22" s="127"/>
      <c r="V22" s="128"/>
      <c r="W22" s="129"/>
      <c r="X22" s="129"/>
      <c r="Y22" s="130"/>
      <c r="Z22" s="186"/>
      <c r="AA22" s="130"/>
      <c r="AB22" s="183"/>
      <c r="AC22" s="131"/>
      <c r="AD22" s="132"/>
      <c r="AE22" s="63"/>
      <c r="AF22" s="64"/>
    </row>
    <row r="23" spans="1:32" ht="20.25" customHeight="1" x14ac:dyDescent="0.25">
      <c r="A23" s="133">
        <v>19</v>
      </c>
      <c r="B23" s="134"/>
      <c r="C23" s="135"/>
      <c r="D23" s="136"/>
      <c r="E23" s="137"/>
      <c r="F23" s="138"/>
      <c r="G23" s="139"/>
      <c r="H23" s="140"/>
      <c r="I23" s="141"/>
      <c r="J23" s="142"/>
      <c r="K23" s="142"/>
      <c r="L23" s="143"/>
      <c r="M23" s="144"/>
      <c r="N23" s="191"/>
      <c r="O23" s="145"/>
      <c r="P23" s="146"/>
      <c r="Q23" s="147"/>
      <c r="R23" s="137"/>
      <c r="S23" s="148"/>
      <c r="T23" s="148"/>
      <c r="U23" s="149"/>
      <c r="V23" s="128"/>
      <c r="W23" s="129"/>
      <c r="X23" s="129"/>
      <c r="Y23" s="130"/>
      <c r="Z23" s="186"/>
      <c r="AA23" s="130"/>
      <c r="AB23" s="183"/>
      <c r="AC23" s="131"/>
      <c r="AD23" s="132"/>
      <c r="AE23" s="63"/>
      <c r="AF23" s="64"/>
    </row>
    <row r="24" spans="1:32" ht="20.25" customHeight="1" x14ac:dyDescent="0.25">
      <c r="A24" s="111">
        <v>20</v>
      </c>
      <c r="B24" s="112"/>
      <c r="C24" s="113"/>
      <c r="D24" s="114"/>
      <c r="E24" s="115"/>
      <c r="F24" s="116"/>
      <c r="G24" s="117"/>
      <c r="H24" s="118"/>
      <c r="I24" s="119"/>
      <c r="J24" s="120"/>
      <c r="K24" s="120"/>
      <c r="L24" s="121"/>
      <c r="M24" s="122"/>
      <c r="N24" s="190"/>
      <c r="O24" s="123"/>
      <c r="P24" s="124"/>
      <c r="Q24" s="125"/>
      <c r="R24" s="115"/>
      <c r="S24" s="126"/>
      <c r="T24" s="126"/>
      <c r="U24" s="127"/>
      <c r="V24" s="128"/>
      <c r="W24" s="129"/>
      <c r="X24" s="129"/>
      <c r="Y24" s="130"/>
      <c r="Z24" s="186"/>
      <c r="AA24" s="130"/>
      <c r="AB24" s="183"/>
      <c r="AC24" s="131"/>
      <c r="AD24" s="132"/>
      <c r="AE24" s="63"/>
      <c r="AF24" s="64"/>
    </row>
    <row r="25" spans="1:32" ht="20.25" customHeight="1" x14ac:dyDescent="0.25">
      <c r="A25" s="133">
        <v>21</v>
      </c>
      <c r="B25" s="134"/>
      <c r="C25" s="135"/>
      <c r="D25" s="136"/>
      <c r="E25" s="137"/>
      <c r="F25" s="138"/>
      <c r="G25" s="139"/>
      <c r="H25" s="140"/>
      <c r="I25" s="141"/>
      <c r="J25" s="142"/>
      <c r="K25" s="142"/>
      <c r="L25" s="143"/>
      <c r="M25" s="144"/>
      <c r="N25" s="191"/>
      <c r="O25" s="145"/>
      <c r="P25" s="146"/>
      <c r="Q25" s="147"/>
      <c r="R25" s="137"/>
      <c r="S25" s="148"/>
      <c r="T25" s="148"/>
      <c r="U25" s="149"/>
      <c r="V25" s="128"/>
      <c r="W25" s="129"/>
      <c r="X25" s="129"/>
      <c r="Y25" s="130"/>
      <c r="Z25" s="186"/>
      <c r="AA25" s="130"/>
      <c r="AB25" s="183"/>
      <c r="AC25" s="131"/>
      <c r="AD25" s="132"/>
      <c r="AE25" s="63"/>
      <c r="AF25" s="64"/>
    </row>
    <row r="26" spans="1:32" ht="20.25" customHeight="1" x14ac:dyDescent="0.25">
      <c r="A26" s="111">
        <v>22</v>
      </c>
      <c r="B26" s="112"/>
      <c r="C26" s="113"/>
      <c r="D26" s="114"/>
      <c r="E26" s="115"/>
      <c r="F26" s="116"/>
      <c r="G26" s="117"/>
      <c r="H26" s="118"/>
      <c r="I26" s="119"/>
      <c r="J26" s="120"/>
      <c r="K26" s="120"/>
      <c r="L26" s="121"/>
      <c r="M26" s="122"/>
      <c r="N26" s="190"/>
      <c r="O26" s="123"/>
      <c r="P26" s="124"/>
      <c r="Q26" s="125"/>
      <c r="R26" s="115"/>
      <c r="S26" s="126"/>
      <c r="T26" s="126"/>
      <c r="U26" s="127"/>
      <c r="V26" s="128"/>
      <c r="W26" s="129"/>
      <c r="X26" s="129"/>
      <c r="Y26" s="130"/>
      <c r="Z26" s="186"/>
      <c r="AA26" s="130"/>
      <c r="AB26" s="183"/>
      <c r="AC26" s="131"/>
      <c r="AD26" s="132"/>
      <c r="AE26" s="63"/>
      <c r="AF26" s="64"/>
    </row>
    <row r="27" spans="1:32" ht="20.25" customHeight="1" x14ac:dyDescent="0.25">
      <c r="A27" s="133">
        <v>23</v>
      </c>
      <c r="B27" s="134"/>
      <c r="C27" s="135"/>
      <c r="D27" s="136"/>
      <c r="E27" s="137"/>
      <c r="F27" s="138"/>
      <c r="G27" s="139"/>
      <c r="H27" s="140"/>
      <c r="I27" s="141"/>
      <c r="J27" s="142"/>
      <c r="K27" s="142"/>
      <c r="L27" s="143"/>
      <c r="M27" s="144"/>
      <c r="N27" s="191"/>
      <c r="O27" s="145"/>
      <c r="P27" s="146"/>
      <c r="Q27" s="147"/>
      <c r="R27" s="137"/>
      <c r="S27" s="148"/>
      <c r="T27" s="148"/>
      <c r="U27" s="149"/>
      <c r="V27" s="128"/>
      <c r="W27" s="129"/>
      <c r="X27" s="129"/>
      <c r="Y27" s="130"/>
      <c r="Z27" s="186"/>
      <c r="AA27" s="130"/>
      <c r="AB27" s="183"/>
      <c r="AC27" s="131"/>
      <c r="AD27" s="132"/>
      <c r="AE27" s="63"/>
      <c r="AF27" s="64"/>
    </row>
    <row r="28" spans="1:32" ht="20.25" customHeight="1" x14ac:dyDescent="0.25">
      <c r="A28" s="111">
        <v>24</v>
      </c>
      <c r="B28" s="112"/>
      <c r="C28" s="113"/>
      <c r="D28" s="114"/>
      <c r="E28" s="115"/>
      <c r="F28" s="116"/>
      <c r="G28" s="117"/>
      <c r="H28" s="118"/>
      <c r="I28" s="119"/>
      <c r="J28" s="120"/>
      <c r="K28" s="120"/>
      <c r="L28" s="121"/>
      <c r="M28" s="122"/>
      <c r="N28" s="190"/>
      <c r="O28" s="123"/>
      <c r="P28" s="124"/>
      <c r="Q28" s="125"/>
      <c r="R28" s="115"/>
      <c r="S28" s="126"/>
      <c r="T28" s="126"/>
      <c r="U28" s="127"/>
      <c r="V28" s="128"/>
      <c r="W28" s="129"/>
      <c r="X28" s="129"/>
      <c r="Y28" s="130"/>
      <c r="Z28" s="186"/>
      <c r="AA28" s="130"/>
      <c r="AB28" s="183"/>
      <c r="AC28" s="131"/>
      <c r="AD28" s="132"/>
      <c r="AE28" s="63"/>
      <c r="AF28" s="64"/>
    </row>
    <row r="29" spans="1:32" ht="20.25" customHeight="1" x14ac:dyDescent="0.25">
      <c r="A29" s="133">
        <v>25</v>
      </c>
      <c r="B29" s="134"/>
      <c r="C29" s="135"/>
      <c r="D29" s="136"/>
      <c r="E29" s="137"/>
      <c r="F29" s="138"/>
      <c r="G29" s="139"/>
      <c r="H29" s="140"/>
      <c r="I29" s="141"/>
      <c r="J29" s="142"/>
      <c r="K29" s="142"/>
      <c r="L29" s="143"/>
      <c r="M29" s="144"/>
      <c r="N29" s="191"/>
      <c r="O29" s="145"/>
      <c r="P29" s="146"/>
      <c r="Q29" s="147"/>
      <c r="R29" s="137"/>
      <c r="S29" s="148"/>
      <c r="T29" s="148"/>
      <c r="U29" s="149"/>
      <c r="V29" s="128"/>
      <c r="W29" s="129"/>
      <c r="X29" s="129"/>
      <c r="Y29" s="130"/>
      <c r="Z29" s="186"/>
      <c r="AA29" s="130"/>
      <c r="AB29" s="183"/>
      <c r="AC29" s="131"/>
      <c r="AD29" s="132"/>
      <c r="AE29" s="63"/>
      <c r="AF29" s="64"/>
    </row>
    <row r="30" spans="1:32" ht="20.25" customHeight="1" x14ac:dyDescent="0.25">
      <c r="A30" s="111">
        <v>26</v>
      </c>
      <c r="B30" s="112"/>
      <c r="C30" s="113"/>
      <c r="D30" s="114"/>
      <c r="E30" s="115"/>
      <c r="F30" s="116"/>
      <c r="G30" s="117"/>
      <c r="H30" s="118"/>
      <c r="I30" s="119"/>
      <c r="J30" s="120"/>
      <c r="K30" s="120"/>
      <c r="L30" s="121"/>
      <c r="M30" s="122"/>
      <c r="N30" s="190"/>
      <c r="O30" s="123"/>
      <c r="P30" s="124"/>
      <c r="Q30" s="125"/>
      <c r="R30" s="115"/>
      <c r="S30" s="126"/>
      <c r="T30" s="126"/>
      <c r="U30" s="127"/>
      <c r="V30" s="128"/>
      <c r="W30" s="129"/>
      <c r="X30" s="129"/>
      <c r="Y30" s="130"/>
      <c r="Z30" s="186"/>
      <c r="AA30" s="130"/>
      <c r="AB30" s="183"/>
      <c r="AC30" s="131"/>
      <c r="AD30" s="132"/>
      <c r="AE30" s="63"/>
      <c r="AF30" s="64"/>
    </row>
    <row r="31" spans="1:32" ht="20.25" customHeight="1" x14ac:dyDescent="0.25">
      <c r="A31" s="133">
        <v>27</v>
      </c>
      <c r="B31" s="134"/>
      <c r="C31" s="135"/>
      <c r="D31" s="136"/>
      <c r="E31" s="137"/>
      <c r="F31" s="138"/>
      <c r="G31" s="139"/>
      <c r="H31" s="140"/>
      <c r="I31" s="141"/>
      <c r="J31" s="142"/>
      <c r="K31" s="142"/>
      <c r="L31" s="143"/>
      <c r="M31" s="144"/>
      <c r="N31" s="191"/>
      <c r="O31" s="145"/>
      <c r="P31" s="146"/>
      <c r="Q31" s="147"/>
      <c r="R31" s="137"/>
      <c r="S31" s="148"/>
      <c r="T31" s="148"/>
      <c r="U31" s="149"/>
      <c r="V31" s="128"/>
      <c r="W31" s="129"/>
      <c r="X31" s="129"/>
      <c r="Y31" s="130"/>
      <c r="Z31" s="186"/>
      <c r="AA31" s="130"/>
      <c r="AB31" s="183"/>
      <c r="AC31" s="131"/>
      <c r="AD31" s="132"/>
      <c r="AE31" s="63"/>
      <c r="AF31" s="64"/>
    </row>
    <row r="32" spans="1:32" ht="20.25" customHeight="1" x14ac:dyDescent="0.25">
      <c r="A32" s="111">
        <v>28</v>
      </c>
      <c r="B32" s="112"/>
      <c r="C32" s="113"/>
      <c r="D32" s="114"/>
      <c r="E32" s="115"/>
      <c r="F32" s="116"/>
      <c r="G32" s="117"/>
      <c r="H32" s="118"/>
      <c r="I32" s="119"/>
      <c r="J32" s="120"/>
      <c r="K32" s="120"/>
      <c r="L32" s="121"/>
      <c r="M32" s="122"/>
      <c r="N32" s="190"/>
      <c r="O32" s="123"/>
      <c r="P32" s="124"/>
      <c r="Q32" s="125"/>
      <c r="R32" s="115"/>
      <c r="S32" s="126"/>
      <c r="T32" s="126"/>
      <c r="U32" s="127"/>
      <c r="V32" s="128"/>
      <c r="W32" s="129"/>
      <c r="X32" s="129"/>
      <c r="Y32" s="130"/>
      <c r="Z32" s="186"/>
      <c r="AA32" s="130"/>
      <c r="AB32" s="183"/>
      <c r="AC32" s="131"/>
      <c r="AD32" s="132"/>
      <c r="AE32" s="63"/>
      <c r="AF32" s="64"/>
    </row>
    <row r="33" spans="1:32" ht="20.25" customHeight="1" x14ac:dyDescent="0.25">
      <c r="A33" s="133">
        <v>29</v>
      </c>
      <c r="B33" s="134"/>
      <c r="C33" s="135"/>
      <c r="D33" s="136"/>
      <c r="E33" s="137"/>
      <c r="F33" s="138"/>
      <c r="G33" s="139"/>
      <c r="H33" s="140"/>
      <c r="I33" s="141"/>
      <c r="J33" s="142"/>
      <c r="K33" s="142"/>
      <c r="L33" s="143"/>
      <c r="M33" s="144"/>
      <c r="N33" s="191"/>
      <c r="O33" s="145"/>
      <c r="P33" s="146"/>
      <c r="Q33" s="147"/>
      <c r="R33" s="137"/>
      <c r="S33" s="148"/>
      <c r="T33" s="148"/>
      <c r="U33" s="149"/>
      <c r="V33" s="128"/>
      <c r="W33" s="129"/>
      <c r="X33" s="129"/>
      <c r="Y33" s="130"/>
      <c r="Z33" s="186"/>
      <c r="AA33" s="130"/>
      <c r="AB33" s="183"/>
      <c r="AC33" s="131"/>
      <c r="AD33" s="132"/>
      <c r="AE33" s="63"/>
      <c r="AF33" s="64"/>
    </row>
    <row r="34" spans="1:32" ht="20.25" customHeight="1" x14ac:dyDescent="0.25">
      <c r="A34" s="111">
        <v>30</v>
      </c>
      <c r="B34" s="112"/>
      <c r="C34" s="113"/>
      <c r="D34" s="114"/>
      <c r="E34" s="115"/>
      <c r="F34" s="116"/>
      <c r="G34" s="117"/>
      <c r="H34" s="118"/>
      <c r="I34" s="119"/>
      <c r="J34" s="120"/>
      <c r="K34" s="120"/>
      <c r="L34" s="121"/>
      <c r="M34" s="122"/>
      <c r="N34" s="190"/>
      <c r="O34" s="123"/>
      <c r="P34" s="124"/>
      <c r="Q34" s="125"/>
      <c r="R34" s="115"/>
      <c r="S34" s="126"/>
      <c r="T34" s="126"/>
      <c r="U34" s="127"/>
      <c r="V34" s="128"/>
      <c r="W34" s="129"/>
      <c r="X34" s="129"/>
      <c r="Y34" s="130"/>
      <c r="Z34" s="186"/>
      <c r="AA34" s="130"/>
      <c r="AB34" s="183"/>
      <c r="AC34" s="131"/>
      <c r="AD34" s="132"/>
      <c r="AE34" s="63"/>
      <c r="AF34" s="64"/>
    </row>
    <row r="35" spans="1:32" ht="20.25" customHeight="1" x14ac:dyDescent="0.25">
      <c r="A35" s="133">
        <v>31</v>
      </c>
      <c r="B35" s="134"/>
      <c r="C35" s="135"/>
      <c r="D35" s="136"/>
      <c r="E35" s="137"/>
      <c r="F35" s="138"/>
      <c r="G35" s="139"/>
      <c r="H35" s="140"/>
      <c r="I35" s="141"/>
      <c r="J35" s="142"/>
      <c r="K35" s="142"/>
      <c r="L35" s="143"/>
      <c r="M35" s="144"/>
      <c r="N35" s="191"/>
      <c r="O35" s="145"/>
      <c r="P35" s="146"/>
      <c r="Q35" s="147"/>
      <c r="R35" s="137"/>
      <c r="S35" s="148"/>
      <c r="T35" s="148"/>
      <c r="U35" s="149"/>
      <c r="V35" s="128"/>
      <c r="W35" s="129"/>
      <c r="X35" s="129"/>
      <c r="Y35" s="130"/>
      <c r="Z35" s="186"/>
      <c r="AA35" s="130"/>
      <c r="AB35" s="183"/>
      <c r="AC35" s="131"/>
      <c r="AD35" s="132"/>
      <c r="AE35" s="63"/>
      <c r="AF35" s="64"/>
    </row>
    <row r="36" spans="1:32" ht="20.25" customHeight="1" x14ac:dyDescent="0.25">
      <c r="A36" s="111">
        <v>32</v>
      </c>
      <c r="B36" s="112"/>
      <c r="C36" s="113"/>
      <c r="D36" s="114"/>
      <c r="E36" s="115"/>
      <c r="F36" s="116"/>
      <c r="G36" s="117"/>
      <c r="H36" s="118"/>
      <c r="I36" s="119"/>
      <c r="J36" s="120"/>
      <c r="K36" s="120"/>
      <c r="L36" s="121"/>
      <c r="M36" s="122"/>
      <c r="N36" s="190"/>
      <c r="O36" s="123"/>
      <c r="P36" s="124"/>
      <c r="Q36" s="125"/>
      <c r="R36" s="115"/>
      <c r="S36" s="126"/>
      <c r="T36" s="126"/>
      <c r="U36" s="127"/>
      <c r="V36" s="128"/>
      <c r="W36" s="129"/>
      <c r="X36" s="129"/>
      <c r="Y36" s="130"/>
      <c r="Z36" s="186"/>
      <c r="AA36" s="130"/>
      <c r="AB36" s="183"/>
      <c r="AC36" s="131"/>
      <c r="AD36" s="132"/>
      <c r="AE36" s="63"/>
      <c r="AF36" s="64"/>
    </row>
    <row r="37" spans="1:32" ht="20.25" customHeight="1" x14ac:dyDescent="0.25">
      <c r="A37" s="133">
        <v>33</v>
      </c>
      <c r="B37" s="134"/>
      <c r="C37" s="135"/>
      <c r="D37" s="136"/>
      <c r="E37" s="137"/>
      <c r="F37" s="138"/>
      <c r="G37" s="139"/>
      <c r="H37" s="140"/>
      <c r="I37" s="141"/>
      <c r="J37" s="142"/>
      <c r="K37" s="142"/>
      <c r="L37" s="143"/>
      <c r="M37" s="144"/>
      <c r="N37" s="191"/>
      <c r="O37" s="145"/>
      <c r="P37" s="146"/>
      <c r="Q37" s="147"/>
      <c r="R37" s="137"/>
      <c r="S37" s="148"/>
      <c r="T37" s="148"/>
      <c r="U37" s="149"/>
      <c r="V37" s="128"/>
      <c r="W37" s="129"/>
      <c r="X37" s="129"/>
      <c r="Y37" s="130"/>
      <c r="Z37" s="186"/>
      <c r="AA37" s="130"/>
      <c r="AB37" s="183"/>
      <c r="AC37" s="131"/>
      <c r="AD37" s="132"/>
      <c r="AE37" s="63"/>
      <c r="AF37" s="64"/>
    </row>
    <row r="38" spans="1:32" ht="20.25" customHeight="1" x14ac:dyDescent="0.25">
      <c r="A38" s="111">
        <v>34</v>
      </c>
      <c r="B38" s="112"/>
      <c r="C38" s="113"/>
      <c r="D38" s="114"/>
      <c r="E38" s="115"/>
      <c r="F38" s="116"/>
      <c r="G38" s="117"/>
      <c r="H38" s="118"/>
      <c r="I38" s="119"/>
      <c r="J38" s="120"/>
      <c r="K38" s="120"/>
      <c r="L38" s="121"/>
      <c r="M38" s="122"/>
      <c r="N38" s="190"/>
      <c r="O38" s="123"/>
      <c r="P38" s="124"/>
      <c r="Q38" s="125"/>
      <c r="R38" s="115"/>
      <c r="S38" s="126"/>
      <c r="T38" s="126"/>
      <c r="U38" s="127"/>
      <c r="V38" s="128"/>
      <c r="W38" s="129"/>
      <c r="X38" s="129"/>
      <c r="Y38" s="130"/>
      <c r="Z38" s="186"/>
      <c r="AA38" s="130"/>
      <c r="AB38" s="183"/>
      <c r="AC38" s="131"/>
      <c r="AD38" s="132"/>
      <c r="AE38" s="63"/>
      <c r="AF38" s="64"/>
    </row>
    <row r="39" spans="1:32" ht="20.25" customHeight="1" x14ac:dyDescent="0.25">
      <c r="A39" s="133">
        <v>35</v>
      </c>
      <c r="B39" s="134"/>
      <c r="C39" s="135"/>
      <c r="D39" s="136"/>
      <c r="E39" s="137"/>
      <c r="F39" s="138"/>
      <c r="G39" s="139"/>
      <c r="H39" s="140"/>
      <c r="I39" s="141"/>
      <c r="J39" s="142"/>
      <c r="K39" s="142"/>
      <c r="L39" s="143"/>
      <c r="M39" s="144"/>
      <c r="N39" s="191"/>
      <c r="O39" s="145"/>
      <c r="P39" s="146"/>
      <c r="Q39" s="147"/>
      <c r="R39" s="137"/>
      <c r="S39" s="148"/>
      <c r="T39" s="148"/>
      <c r="U39" s="149"/>
      <c r="V39" s="128"/>
      <c r="W39" s="129"/>
      <c r="X39" s="129"/>
      <c r="Y39" s="130"/>
      <c r="Z39" s="186"/>
      <c r="AA39" s="130"/>
      <c r="AB39" s="183"/>
      <c r="AC39" s="131"/>
      <c r="AD39" s="132"/>
      <c r="AE39" s="63"/>
      <c r="AF39" s="64"/>
    </row>
    <row r="40" spans="1:32" ht="20.25" customHeight="1" x14ac:dyDescent="0.25">
      <c r="A40" s="111">
        <v>36</v>
      </c>
      <c r="B40" s="112"/>
      <c r="C40" s="113"/>
      <c r="D40" s="114"/>
      <c r="E40" s="115"/>
      <c r="F40" s="116"/>
      <c r="G40" s="117"/>
      <c r="H40" s="118"/>
      <c r="I40" s="119"/>
      <c r="J40" s="120"/>
      <c r="K40" s="120"/>
      <c r="L40" s="121"/>
      <c r="M40" s="122"/>
      <c r="N40" s="190"/>
      <c r="O40" s="123"/>
      <c r="P40" s="124"/>
      <c r="Q40" s="125"/>
      <c r="R40" s="115"/>
      <c r="S40" s="126"/>
      <c r="T40" s="126"/>
      <c r="U40" s="127"/>
      <c r="V40" s="128"/>
      <c r="W40" s="129"/>
      <c r="X40" s="129"/>
      <c r="Y40" s="130"/>
      <c r="Z40" s="186"/>
      <c r="AA40" s="130"/>
      <c r="AB40" s="183"/>
      <c r="AC40" s="131"/>
      <c r="AD40" s="132"/>
      <c r="AE40" s="63"/>
      <c r="AF40" s="64"/>
    </row>
    <row r="41" spans="1:32" ht="20.25" customHeight="1" x14ac:dyDescent="0.25">
      <c r="A41" s="133">
        <v>37</v>
      </c>
      <c r="B41" s="134"/>
      <c r="C41" s="135"/>
      <c r="D41" s="136"/>
      <c r="E41" s="137"/>
      <c r="F41" s="138"/>
      <c r="G41" s="139"/>
      <c r="H41" s="140"/>
      <c r="I41" s="141"/>
      <c r="J41" s="142"/>
      <c r="K41" s="142"/>
      <c r="L41" s="143"/>
      <c r="M41" s="144"/>
      <c r="N41" s="191"/>
      <c r="O41" s="145"/>
      <c r="P41" s="146"/>
      <c r="Q41" s="147"/>
      <c r="R41" s="137"/>
      <c r="S41" s="148"/>
      <c r="T41" s="148"/>
      <c r="U41" s="149"/>
      <c r="V41" s="128"/>
      <c r="W41" s="129"/>
      <c r="X41" s="129"/>
      <c r="Y41" s="130"/>
      <c r="Z41" s="186"/>
      <c r="AA41" s="130"/>
      <c r="AB41" s="183"/>
      <c r="AC41" s="131"/>
      <c r="AD41" s="132"/>
      <c r="AE41" s="63"/>
      <c r="AF41" s="64"/>
    </row>
    <row r="42" spans="1:32" ht="20.25" customHeight="1" x14ac:dyDescent="0.25">
      <c r="A42" s="111">
        <v>38</v>
      </c>
      <c r="B42" s="112"/>
      <c r="C42" s="113"/>
      <c r="D42" s="114"/>
      <c r="E42" s="115"/>
      <c r="F42" s="116"/>
      <c r="G42" s="117"/>
      <c r="H42" s="118"/>
      <c r="I42" s="119"/>
      <c r="J42" s="120"/>
      <c r="K42" s="120"/>
      <c r="L42" s="121"/>
      <c r="M42" s="122"/>
      <c r="N42" s="190"/>
      <c r="O42" s="123"/>
      <c r="P42" s="124"/>
      <c r="Q42" s="125"/>
      <c r="R42" s="115"/>
      <c r="S42" s="126"/>
      <c r="T42" s="126"/>
      <c r="U42" s="127"/>
      <c r="V42" s="128"/>
      <c r="W42" s="129"/>
      <c r="X42" s="129"/>
      <c r="Y42" s="130"/>
      <c r="Z42" s="186"/>
      <c r="AA42" s="130"/>
      <c r="AB42" s="183"/>
      <c r="AC42" s="131"/>
      <c r="AD42" s="132"/>
      <c r="AE42" s="63"/>
      <c r="AF42" s="64"/>
    </row>
    <row r="43" spans="1:32" ht="20.25" customHeight="1" x14ac:dyDescent="0.25">
      <c r="A43" s="133">
        <v>39</v>
      </c>
      <c r="B43" s="134"/>
      <c r="C43" s="135"/>
      <c r="D43" s="136"/>
      <c r="E43" s="137"/>
      <c r="F43" s="138"/>
      <c r="G43" s="139"/>
      <c r="H43" s="140"/>
      <c r="I43" s="141"/>
      <c r="J43" s="142"/>
      <c r="K43" s="142"/>
      <c r="L43" s="143"/>
      <c r="M43" s="144"/>
      <c r="N43" s="191"/>
      <c r="O43" s="145"/>
      <c r="P43" s="146"/>
      <c r="Q43" s="147"/>
      <c r="R43" s="137"/>
      <c r="S43" s="148"/>
      <c r="T43" s="148"/>
      <c r="U43" s="149"/>
      <c r="V43" s="128"/>
      <c r="W43" s="129"/>
      <c r="X43" s="129"/>
      <c r="Y43" s="130"/>
      <c r="Z43" s="186"/>
      <c r="AA43" s="130"/>
      <c r="AB43" s="183"/>
      <c r="AC43" s="131"/>
      <c r="AD43" s="132"/>
      <c r="AE43" s="63"/>
      <c r="AF43" s="64"/>
    </row>
    <row r="44" spans="1:32" ht="20.25" customHeight="1" x14ac:dyDescent="0.25">
      <c r="A44" s="111">
        <v>40</v>
      </c>
      <c r="B44" s="112"/>
      <c r="C44" s="113"/>
      <c r="D44" s="114"/>
      <c r="E44" s="115"/>
      <c r="F44" s="116"/>
      <c r="G44" s="117"/>
      <c r="H44" s="118"/>
      <c r="I44" s="119"/>
      <c r="J44" s="120"/>
      <c r="K44" s="120"/>
      <c r="L44" s="121"/>
      <c r="M44" s="122"/>
      <c r="N44" s="190"/>
      <c r="O44" s="123"/>
      <c r="P44" s="124"/>
      <c r="Q44" s="125"/>
      <c r="R44" s="115"/>
      <c r="S44" s="126"/>
      <c r="T44" s="126"/>
      <c r="U44" s="127"/>
      <c r="V44" s="128"/>
      <c r="W44" s="129"/>
      <c r="X44" s="129"/>
      <c r="Y44" s="130"/>
      <c r="Z44" s="186"/>
      <c r="AA44" s="130"/>
      <c r="AB44" s="183"/>
      <c r="AC44" s="131"/>
      <c r="AD44" s="132"/>
      <c r="AE44" s="63"/>
      <c r="AF44" s="64"/>
    </row>
    <row r="45" spans="1:32" ht="20.25" customHeight="1" x14ac:dyDescent="0.25">
      <c r="A45" s="133">
        <v>41</v>
      </c>
      <c r="B45" s="134"/>
      <c r="C45" s="135"/>
      <c r="D45" s="136"/>
      <c r="E45" s="137"/>
      <c r="F45" s="138"/>
      <c r="G45" s="139"/>
      <c r="H45" s="140"/>
      <c r="I45" s="141"/>
      <c r="J45" s="142"/>
      <c r="K45" s="142"/>
      <c r="L45" s="143"/>
      <c r="M45" s="144"/>
      <c r="N45" s="191"/>
      <c r="O45" s="145"/>
      <c r="P45" s="146"/>
      <c r="Q45" s="147"/>
      <c r="R45" s="137"/>
      <c r="S45" s="148"/>
      <c r="T45" s="148"/>
      <c r="U45" s="149"/>
      <c r="V45" s="128"/>
      <c r="W45" s="129"/>
      <c r="X45" s="129"/>
      <c r="Y45" s="130"/>
      <c r="Z45" s="186"/>
      <c r="AA45" s="130"/>
      <c r="AB45" s="183"/>
      <c r="AC45" s="131"/>
      <c r="AD45" s="132"/>
      <c r="AE45" s="63"/>
      <c r="AF45" s="64"/>
    </row>
    <row r="46" spans="1:32" ht="20.25" customHeight="1" x14ac:dyDescent="0.25">
      <c r="A46" s="111">
        <v>42</v>
      </c>
      <c r="B46" s="112"/>
      <c r="C46" s="113"/>
      <c r="D46" s="114"/>
      <c r="E46" s="115"/>
      <c r="F46" s="116"/>
      <c r="G46" s="117"/>
      <c r="H46" s="118"/>
      <c r="I46" s="119"/>
      <c r="J46" s="120"/>
      <c r="K46" s="120"/>
      <c r="L46" s="121"/>
      <c r="M46" s="122"/>
      <c r="N46" s="190"/>
      <c r="O46" s="123"/>
      <c r="P46" s="124"/>
      <c r="Q46" s="125"/>
      <c r="R46" s="115"/>
      <c r="S46" s="126"/>
      <c r="T46" s="126"/>
      <c r="U46" s="127"/>
      <c r="V46" s="128"/>
      <c r="W46" s="129"/>
      <c r="X46" s="129"/>
      <c r="Y46" s="130"/>
      <c r="Z46" s="186"/>
      <c r="AA46" s="130"/>
      <c r="AB46" s="183"/>
      <c r="AC46" s="131"/>
      <c r="AD46" s="132"/>
      <c r="AE46" s="63"/>
      <c r="AF46" s="64"/>
    </row>
    <row r="47" spans="1:32" ht="20.25" customHeight="1" x14ac:dyDescent="0.25">
      <c r="A47" s="133">
        <v>43</v>
      </c>
      <c r="B47" s="134"/>
      <c r="C47" s="135"/>
      <c r="D47" s="136"/>
      <c r="E47" s="137"/>
      <c r="F47" s="138"/>
      <c r="G47" s="139"/>
      <c r="H47" s="140"/>
      <c r="I47" s="141"/>
      <c r="J47" s="142"/>
      <c r="K47" s="142"/>
      <c r="L47" s="143"/>
      <c r="M47" s="144"/>
      <c r="N47" s="191"/>
      <c r="O47" s="145"/>
      <c r="P47" s="146"/>
      <c r="Q47" s="147"/>
      <c r="R47" s="137"/>
      <c r="S47" s="148"/>
      <c r="T47" s="148"/>
      <c r="U47" s="149"/>
      <c r="V47" s="128"/>
      <c r="W47" s="129"/>
      <c r="X47" s="129"/>
      <c r="Y47" s="130"/>
      <c r="Z47" s="186"/>
      <c r="AA47" s="130"/>
      <c r="AB47" s="183"/>
      <c r="AC47" s="131"/>
      <c r="AD47" s="132"/>
      <c r="AE47" s="63"/>
      <c r="AF47" s="64"/>
    </row>
    <row r="48" spans="1:32" ht="20.25" customHeight="1" x14ac:dyDescent="0.25">
      <c r="A48" s="111">
        <v>42</v>
      </c>
      <c r="B48" s="112"/>
      <c r="C48" s="113"/>
      <c r="D48" s="114"/>
      <c r="E48" s="115"/>
      <c r="F48" s="116"/>
      <c r="G48" s="117"/>
      <c r="H48" s="118"/>
      <c r="I48" s="119"/>
      <c r="J48" s="120"/>
      <c r="K48" s="120"/>
      <c r="L48" s="121"/>
      <c r="M48" s="122"/>
      <c r="N48" s="190"/>
      <c r="O48" s="123"/>
      <c r="P48" s="124"/>
      <c r="Q48" s="125"/>
      <c r="R48" s="115"/>
      <c r="S48" s="126"/>
      <c r="T48" s="126"/>
      <c r="U48" s="127"/>
      <c r="V48" s="128"/>
      <c r="W48" s="129"/>
      <c r="X48" s="129"/>
      <c r="Y48" s="130"/>
      <c r="Z48" s="186"/>
      <c r="AA48" s="130"/>
      <c r="AB48" s="183"/>
      <c r="AC48" s="131"/>
      <c r="AD48" s="132"/>
      <c r="AE48" s="63"/>
      <c r="AF48" s="64"/>
    </row>
    <row r="49" spans="1:32" ht="20.25" customHeight="1" x14ac:dyDescent="0.25">
      <c r="A49" s="133">
        <v>43</v>
      </c>
      <c r="B49" s="134"/>
      <c r="C49" s="135"/>
      <c r="D49" s="136"/>
      <c r="E49" s="137"/>
      <c r="F49" s="138"/>
      <c r="G49" s="139"/>
      <c r="H49" s="140"/>
      <c r="I49" s="141"/>
      <c r="J49" s="142"/>
      <c r="K49" s="142"/>
      <c r="L49" s="143"/>
      <c r="M49" s="144"/>
      <c r="N49" s="191"/>
      <c r="O49" s="145"/>
      <c r="P49" s="146"/>
      <c r="Q49" s="147"/>
      <c r="R49" s="137"/>
      <c r="S49" s="148"/>
      <c r="T49" s="148"/>
      <c r="U49" s="149"/>
      <c r="V49" s="128"/>
      <c r="W49" s="129"/>
      <c r="X49" s="129"/>
      <c r="Y49" s="130"/>
      <c r="Z49" s="186"/>
      <c r="AA49" s="130"/>
      <c r="AB49" s="183"/>
      <c r="AC49" s="131"/>
      <c r="AD49" s="132"/>
      <c r="AE49" s="63"/>
      <c r="AF49" s="64"/>
    </row>
    <row r="50" spans="1:32" ht="20.25" customHeight="1" x14ac:dyDescent="0.25">
      <c r="A50" s="111">
        <v>44</v>
      </c>
      <c r="B50" s="112"/>
      <c r="C50" s="113"/>
      <c r="D50" s="114"/>
      <c r="E50" s="115"/>
      <c r="F50" s="116"/>
      <c r="G50" s="117"/>
      <c r="H50" s="118"/>
      <c r="I50" s="119"/>
      <c r="J50" s="120"/>
      <c r="K50" s="120"/>
      <c r="L50" s="121"/>
      <c r="M50" s="122"/>
      <c r="N50" s="190"/>
      <c r="O50" s="123"/>
      <c r="P50" s="124"/>
      <c r="Q50" s="125"/>
      <c r="R50" s="115"/>
      <c r="S50" s="126"/>
      <c r="T50" s="126"/>
      <c r="U50" s="127"/>
      <c r="V50" s="128"/>
      <c r="W50" s="129"/>
      <c r="X50" s="129"/>
      <c r="Y50" s="130"/>
      <c r="Z50" s="186"/>
      <c r="AA50" s="130"/>
      <c r="AB50" s="183"/>
      <c r="AC50" s="131"/>
      <c r="AD50" s="132"/>
      <c r="AE50" s="63"/>
      <c r="AF50" s="64"/>
    </row>
    <row r="51" spans="1:32" ht="20.25" customHeight="1" x14ac:dyDescent="0.25">
      <c r="A51" s="133">
        <v>45</v>
      </c>
      <c r="B51" s="134"/>
      <c r="C51" s="135"/>
      <c r="D51" s="136"/>
      <c r="E51" s="137"/>
      <c r="F51" s="138"/>
      <c r="G51" s="139"/>
      <c r="H51" s="140"/>
      <c r="I51" s="141"/>
      <c r="J51" s="142"/>
      <c r="K51" s="142"/>
      <c r="L51" s="143"/>
      <c r="M51" s="144"/>
      <c r="N51" s="191"/>
      <c r="O51" s="145"/>
      <c r="P51" s="146"/>
      <c r="Q51" s="147"/>
      <c r="R51" s="137"/>
      <c r="S51" s="148"/>
      <c r="T51" s="148"/>
      <c r="U51" s="149"/>
      <c r="V51" s="128"/>
      <c r="W51" s="129"/>
      <c r="X51" s="129"/>
      <c r="Y51" s="130"/>
      <c r="Z51" s="186"/>
      <c r="AA51" s="130"/>
      <c r="AB51" s="183"/>
      <c r="AC51" s="131"/>
      <c r="AD51" s="132"/>
      <c r="AE51" s="63"/>
      <c r="AF51" s="64"/>
    </row>
    <row r="52" spans="1:32" ht="20.25" customHeight="1" x14ac:dyDescent="0.25">
      <c r="A52" s="111">
        <v>46</v>
      </c>
      <c r="B52" s="112"/>
      <c r="C52" s="113"/>
      <c r="D52" s="114"/>
      <c r="E52" s="115"/>
      <c r="F52" s="116"/>
      <c r="G52" s="117"/>
      <c r="H52" s="118"/>
      <c r="I52" s="119"/>
      <c r="J52" s="120"/>
      <c r="K52" s="120"/>
      <c r="L52" s="121"/>
      <c r="M52" s="122"/>
      <c r="N52" s="190"/>
      <c r="O52" s="123"/>
      <c r="P52" s="124"/>
      <c r="Q52" s="125"/>
      <c r="R52" s="115"/>
      <c r="S52" s="126"/>
      <c r="T52" s="126"/>
      <c r="U52" s="127"/>
      <c r="V52" s="128"/>
      <c r="W52" s="129"/>
      <c r="X52" s="129"/>
      <c r="Y52" s="130"/>
      <c r="Z52" s="186"/>
      <c r="AA52" s="130"/>
      <c r="AB52" s="183"/>
      <c r="AC52" s="131"/>
      <c r="AD52" s="132"/>
      <c r="AE52" s="63"/>
      <c r="AF52" s="64"/>
    </row>
    <row r="53" spans="1:32" ht="20.25" customHeight="1" x14ac:dyDescent="0.25">
      <c r="A53" s="133">
        <v>47</v>
      </c>
      <c r="B53" s="134"/>
      <c r="C53" s="135"/>
      <c r="D53" s="136"/>
      <c r="E53" s="137"/>
      <c r="F53" s="138"/>
      <c r="G53" s="139"/>
      <c r="H53" s="140"/>
      <c r="I53" s="141"/>
      <c r="J53" s="142"/>
      <c r="K53" s="142"/>
      <c r="L53" s="143"/>
      <c r="M53" s="144"/>
      <c r="N53" s="191"/>
      <c r="O53" s="145"/>
      <c r="P53" s="146"/>
      <c r="Q53" s="147"/>
      <c r="R53" s="137"/>
      <c r="S53" s="148"/>
      <c r="T53" s="148"/>
      <c r="U53" s="149"/>
      <c r="V53" s="128"/>
      <c r="W53" s="129"/>
      <c r="X53" s="129"/>
      <c r="Y53" s="130"/>
      <c r="Z53" s="186"/>
      <c r="AA53" s="130"/>
      <c r="AB53" s="183"/>
      <c r="AC53" s="131"/>
      <c r="AD53" s="132"/>
      <c r="AE53" s="63"/>
      <c r="AF53" s="64"/>
    </row>
    <row r="54" spans="1:32" ht="20.25" customHeight="1" x14ac:dyDescent="0.25">
      <c r="A54" s="111">
        <v>48</v>
      </c>
      <c r="B54" s="112"/>
      <c r="C54" s="113"/>
      <c r="D54" s="114"/>
      <c r="E54" s="115"/>
      <c r="F54" s="116"/>
      <c r="G54" s="117"/>
      <c r="H54" s="118"/>
      <c r="I54" s="119"/>
      <c r="J54" s="120"/>
      <c r="K54" s="120"/>
      <c r="L54" s="121"/>
      <c r="M54" s="122"/>
      <c r="N54" s="190"/>
      <c r="O54" s="123"/>
      <c r="P54" s="124"/>
      <c r="Q54" s="125"/>
      <c r="R54" s="115"/>
      <c r="S54" s="126"/>
      <c r="T54" s="126"/>
      <c r="U54" s="127"/>
      <c r="V54" s="128"/>
      <c r="W54" s="129"/>
      <c r="X54" s="129"/>
      <c r="Y54" s="130"/>
      <c r="Z54" s="186"/>
      <c r="AA54" s="130"/>
      <c r="AB54" s="183"/>
      <c r="AC54" s="131"/>
      <c r="AD54" s="132"/>
      <c r="AE54" s="63"/>
      <c r="AF54" s="64"/>
    </row>
    <row r="55" spans="1:32" ht="20.25" customHeight="1" x14ac:dyDescent="0.25">
      <c r="A55" s="133">
        <v>49</v>
      </c>
      <c r="B55" s="134"/>
      <c r="C55" s="135"/>
      <c r="D55" s="136"/>
      <c r="E55" s="137"/>
      <c r="F55" s="138"/>
      <c r="G55" s="139"/>
      <c r="H55" s="140"/>
      <c r="I55" s="141"/>
      <c r="J55" s="142"/>
      <c r="K55" s="142"/>
      <c r="L55" s="143"/>
      <c r="M55" s="144"/>
      <c r="N55" s="191"/>
      <c r="O55" s="145"/>
      <c r="P55" s="146"/>
      <c r="Q55" s="147"/>
      <c r="R55" s="137"/>
      <c r="S55" s="148"/>
      <c r="T55" s="148"/>
      <c r="U55" s="149"/>
      <c r="V55" s="128"/>
      <c r="W55" s="129"/>
      <c r="X55" s="129"/>
      <c r="Y55" s="130"/>
      <c r="Z55" s="186"/>
      <c r="AA55" s="130"/>
      <c r="AB55" s="183"/>
      <c r="AC55" s="131"/>
      <c r="AD55" s="132"/>
      <c r="AE55" s="63"/>
      <c r="AF55" s="64"/>
    </row>
    <row r="56" spans="1:32" ht="20.25" customHeight="1" x14ac:dyDescent="0.25">
      <c r="A56" s="111">
        <v>50</v>
      </c>
      <c r="B56" s="112"/>
      <c r="C56" s="113"/>
      <c r="D56" s="114"/>
      <c r="E56" s="115"/>
      <c r="F56" s="116"/>
      <c r="G56" s="117"/>
      <c r="H56" s="118"/>
      <c r="I56" s="119"/>
      <c r="J56" s="120"/>
      <c r="K56" s="120"/>
      <c r="L56" s="121"/>
      <c r="M56" s="122"/>
      <c r="N56" s="190"/>
      <c r="O56" s="123"/>
      <c r="P56" s="124"/>
      <c r="Q56" s="125"/>
      <c r="R56" s="115"/>
      <c r="S56" s="126"/>
      <c r="T56" s="126"/>
      <c r="U56" s="127"/>
      <c r="V56" s="128"/>
      <c r="W56" s="129"/>
      <c r="X56" s="129"/>
      <c r="Y56" s="130"/>
      <c r="Z56" s="186"/>
      <c r="AA56" s="130"/>
      <c r="AB56" s="183"/>
      <c r="AC56" s="131"/>
      <c r="AD56" s="132"/>
      <c r="AE56" s="63"/>
      <c r="AF56" s="64"/>
    </row>
    <row r="57" spans="1:32" ht="20.25" customHeight="1" x14ac:dyDescent="0.25">
      <c r="A57" s="133">
        <v>51</v>
      </c>
      <c r="B57" s="134"/>
      <c r="C57" s="135"/>
      <c r="D57" s="136"/>
      <c r="E57" s="137"/>
      <c r="F57" s="138"/>
      <c r="G57" s="139"/>
      <c r="H57" s="140"/>
      <c r="I57" s="141"/>
      <c r="J57" s="142"/>
      <c r="K57" s="142"/>
      <c r="L57" s="143"/>
      <c r="M57" s="144"/>
      <c r="N57" s="191"/>
      <c r="O57" s="145"/>
      <c r="P57" s="146"/>
      <c r="Q57" s="147"/>
      <c r="R57" s="137"/>
      <c r="S57" s="148"/>
      <c r="T57" s="148"/>
      <c r="U57" s="149"/>
      <c r="V57" s="128"/>
      <c r="W57" s="129"/>
      <c r="X57" s="129"/>
      <c r="Y57" s="130"/>
      <c r="Z57" s="186"/>
      <c r="AA57" s="130"/>
      <c r="AB57" s="183"/>
      <c r="AC57" s="131"/>
      <c r="AD57" s="132"/>
      <c r="AE57" s="63"/>
      <c r="AF57" s="64"/>
    </row>
    <row r="58" spans="1:32" ht="20.25" customHeight="1" x14ac:dyDescent="0.25">
      <c r="A58" s="111">
        <v>52</v>
      </c>
      <c r="B58" s="112"/>
      <c r="C58" s="113"/>
      <c r="D58" s="114"/>
      <c r="E58" s="115"/>
      <c r="F58" s="116"/>
      <c r="G58" s="117"/>
      <c r="H58" s="118"/>
      <c r="I58" s="119"/>
      <c r="J58" s="120"/>
      <c r="K58" s="120"/>
      <c r="L58" s="121"/>
      <c r="M58" s="122"/>
      <c r="N58" s="190"/>
      <c r="O58" s="123"/>
      <c r="P58" s="124"/>
      <c r="Q58" s="125"/>
      <c r="R58" s="115"/>
      <c r="S58" s="126"/>
      <c r="T58" s="126"/>
      <c r="U58" s="127"/>
      <c r="V58" s="128"/>
      <c r="W58" s="129"/>
      <c r="X58" s="129"/>
      <c r="Y58" s="130"/>
      <c r="Z58" s="186"/>
      <c r="AA58" s="130"/>
      <c r="AB58" s="183"/>
      <c r="AC58" s="131"/>
      <c r="AD58" s="132"/>
      <c r="AE58" s="63"/>
      <c r="AF58" s="64"/>
    </row>
    <row r="59" spans="1:32" ht="20.25" customHeight="1" x14ac:dyDescent="0.25">
      <c r="A59" s="133">
        <v>53</v>
      </c>
      <c r="B59" s="134"/>
      <c r="C59" s="135"/>
      <c r="D59" s="136"/>
      <c r="E59" s="137"/>
      <c r="F59" s="138"/>
      <c r="G59" s="139"/>
      <c r="H59" s="140"/>
      <c r="I59" s="141"/>
      <c r="J59" s="142"/>
      <c r="K59" s="142"/>
      <c r="L59" s="143"/>
      <c r="M59" s="144"/>
      <c r="N59" s="191"/>
      <c r="O59" s="145"/>
      <c r="P59" s="146"/>
      <c r="Q59" s="147"/>
      <c r="R59" s="137"/>
      <c r="S59" s="148"/>
      <c r="T59" s="148"/>
      <c r="U59" s="149"/>
      <c r="V59" s="128"/>
      <c r="W59" s="129"/>
      <c r="X59" s="129"/>
      <c r="Y59" s="130"/>
      <c r="Z59" s="186"/>
      <c r="AA59" s="130"/>
      <c r="AB59" s="183"/>
      <c r="AC59" s="131"/>
      <c r="AD59" s="132"/>
      <c r="AE59" s="63"/>
      <c r="AF59" s="64"/>
    </row>
    <row r="60" spans="1:32" ht="20.25" customHeight="1" x14ac:dyDescent="0.25">
      <c r="A60" s="111">
        <v>54</v>
      </c>
      <c r="B60" s="112"/>
      <c r="C60" s="113"/>
      <c r="D60" s="114"/>
      <c r="E60" s="115"/>
      <c r="F60" s="116"/>
      <c r="G60" s="117"/>
      <c r="H60" s="118"/>
      <c r="I60" s="119"/>
      <c r="J60" s="120"/>
      <c r="K60" s="120"/>
      <c r="L60" s="121"/>
      <c r="M60" s="122"/>
      <c r="N60" s="190"/>
      <c r="O60" s="123"/>
      <c r="P60" s="124"/>
      <c r="Q60" s="125"/>
      <c r="R60" s="115"/>
      <c r="S60" s="126"/>
      <c r="T60" s="126"/>
      <c r="U60" s="127"/>
      <c r="V60" s="128"/>
      <c r="W60" s="129"/>
      <c r="X60" s="129"/>
      <c r="Y60" s="130"/>
      <c r="Z60" s="186"/>
      <c r="AA60" s="130"/>
      <c r="AB60" s="183"/>
      <c r="AC60" s="131"/>
      <c r="AD60" s="132"/>
      <c r="AE60" s="63"/>
      <c r="AF60" s="64"/>
    </row>
    <row r="61" spans="1:32" ht="20.25" customHeight="1" x14ac:dyDescent="0.25">
      <c r="A61" s="133">
        <v>55</v>
      </c>
      <c r="B61" s="134"/>
      <c r="C61" s="135"/>
      <c r="D61" s="136"/>
      <c r="E61" s="137"/>
      <c r="F61" s="138"/>
      <c r="G61" s="139"/>
      <c r="H61" s="140"/>
      <c r="I61" s="141"/>
      <c r="J61" s="142"/>
      <c r="K61" s="142"/>
      <c r="L61" s="143"/>
      <c r="M61" s="144"/>
      <c r="N61" s="191"/>
      <c r="O61" s="145"/>
      <c r="P61" s="146"/>
      <c r="Q61" s="147"/>
      <c r="R61" s="137"/>
      <c r="S61" s="148"/>
      <c r="T61" s="148"/>
      <c r="U61" s="149"/>
      <c r="V61" s="128"/>
      <c r="W61" s="129"/>
      <c r="X61" s="129"/>
      <c r="Y61" s="130"/>
      <c r="Z61" s="186"/>
      <c r="AA61" s="130"/>
      <c r="AB61" s="183"/>
      <c r="AC61" s="131"/>
      <c r="AD61" s="132"/>
      <c r="AE61" s="63"/>
      <c r="AF61" s="64"/>
    </row>
    <row r="62" spans="1:32" ht="20.25" customHeight="1" x14ac:dyDescent="0.25">
      <c r="A62" s="111">
        <v>56</v>
      </c>
      <c r="B62" s="112"/>
      <c r="C62" s="113"/>
      <c r="D62" s="114"/>
      <c r="E62" s="115"/>
      <c r="F62" s="116"/>
      <c r="G62" s="117"/>
      <c r="H62" s="118"/>
      <c r="I62" s="119"/>
      <c r="J62" s="120"/>
      <c r="K62" s="120"/>
      <c r="L62" s="121"/>
      <c r="M62" s="122"/>
      <c r="N62" s="190"/>
      <c r="O62" s="123"/>
      <c r="P62" s="124"/>
      <c r="Q62" s="125"/>
      <c r="R62" s="115"/>
      <c r="S62" s="126"/>
      <c r="T62" s="126"/>
      <c r="U62" s="127"/>
      <c r="V62" s="128"/>
      <c r="W62" s="129"/>
      <c r="X62" s="129"/>
      <c r="Y62" s="130"/>
      <c r="Z62" s="186"/>
      <c r="AA62" s="130"/>
      <c r="AB62" s="183"/>
      <c r="AC62" s="131"/>
      <c r="AD62" s="132"/>
      <c r="AE62" s="63"/>
      <c r="AF62" s="64"/>
    </row>
    <row r="63" spans="1:32" ht="20.25" customHeight="1" x14ac:dyDescent="0.25">
      <c r="A63" s="133">
        <v>57</v>
      </c>
      <c r="B63" s="134"/>
      <c r="C63" s="135"/>
      <c r="D63" s="136"/>
      <c r="E63" s="137"/>
      <c r="F63" s="138"/>
      <c r="G63" s="139"/>
      <c r="H63" s="140"/>
      <c r="I63" s="141"/>
      <c r="J63" s="142"/>
      <c r="K63" s="142"/>
      <c r="L63" s="143"/>
      <c r="M63" s="144"/>
      <c r="N63" s="191"/>
      <c r="O63" s="145"/>
      <c r="P63" s="146"/>
      <c r="Q63" s="147"/>
      <c r="R63" s="137"/>
      <c r="S63" s="148"/>
      <c r="T63" s="148"/>
      <c r="U63" s="149"/>
      <c r="V63" s="128"/>
      <c r="W63" s="129"/>
      <c r="X63" s="129"/>
      <c r="Y63" s="130"/>
      <c r="Z63" s="186"/>
      <c r="AA63" s="130"/>
      <c r="AB63" s="183"/>
      <c r="AC63" s="131"/>
      <c r="AD63" s="132"/>
      <c r="AE63" s="63"/>
      <c r="AF63" s="64"/>
    </row>
    <row r="64" spans="1:32" ht="20.25" customHeight="1" x14ac:dyDescent="0.25">
      <c r="A64" s="111">
        <v>58</v>
      </c>
      <c r="B64" s="112"/>
      <c r="C64" s="113"/>
      <c r="D64" s="114"/>
      <c r="E64" s="115"/>
      <c r="F64" s="116"/>
      <c r="G64" s="117"/>
      <c r="H64" s="118"/>
      <c r="I64" s="119"/>
      <c r="J64" s="120"/>
      <c r="K64" s="120"/>
      <c r="L64" s="121"/>
      <c r="M64" s="122"/>
      <c r="N64" s="190"/>
      <c r="O64" s="123"/>
      <c r="P64" s="124"/>
      <c r="Q64" s="125"/>
      <c r="R64" s="115"/>
      <c r="S64" s="126"/>
      <c r="T64" s="126"/>
      <c r="U64" s="127"/>
      <c r="V64" s="128"/>
      <c r="W64" s="129"/>
      <c r="X64" s="129"/>
      <c r="Y64" s="130"/>
      <c r="Z64" s="186"/>
      <c r="AA64" s="130"/>
      <c r="AB64" s="183"/>
      <c r="AC64" s="131"/>
      <c r="AD64" s="132"/>
      <c r="AE64" s="63"/>
      <c r="AF64" s="64"/>
    </row>
    <row r="65" spans="1:32" ht="20.25" customHeight="1" x14ac:dyDescent="0.25">
      <c r="A65" s="133">
        <v>59</v>
      </c>
      <c r="B65" s="134"/>
      <c r="C65" s="135"/>
      <c r="D65" s="136"/>
      <c r="E65" s="137"/>
      <c r="F65" s="138"/>
      <c r="G65" s="139"/>
      <c r="H65" s="140"/>
      <c r="I65" s="141"/>
      <c r="J65" s="142"/>
      <c r="K65" s="142"/>
      <c r="L65" s="143"/>
      <c r="M65" s="144"/>
      <c r="N65" s="191"/>
      <c r="O65" s="145"/>
      <c r="P65" s="146"/>
      <c r="Q65" s="147"/>
      <c r="R65" s="137"/>
      <c r="S65" s="148"/>
      <c r="T65" s="148"/>
      <c r="U65" s="149"/>
      <c r="V65" s="128"/>
      <c r="W65" s="129"/>
      <c r="X65" s="129"/>
      <c r="Y65" s="130"/>
      <c r="Z65" s="186"/>
      <c r="AA65" s="130"/>
      <c r="AB65" s="183"/>
      <c r="AC65" s="131"/>
      <c r="AD65" s="132"/>
      <c r="AE65" s="63"/>
      <c r="AF65" s="64"/>
    </row>
    <row r="66" spans="1:32" ht="20.25" customHeight="1" x14ac:dyDescent="0.25">
      <c r="A66" s="111">
        <v>60</v>
      </c>
      <c r="B66" s="112"/>
      <c r="C66" s="113"/>
      <c r="D66" s="114"/>
      <c r="E66" s="115"/>
      <c r="F66" s="116"/>
      <c r="G66" s="117"/>
      <c r="H66" s="118"/>
      <c r="I66" s="119"/>
      <c r="J66" s="120"/>
      <c r="K66" s="120"/>
      <c r="L66" s="121"/>
      <c r="M66" s="122"/>
      <c r="N66" s="190"/>
      <c r="O66" s="123"/>
      <c r="P66" s="124"/>
      <c r="Q66" s="125"/>
      <c r="R66" s="115"/>
      <c r="S66" s="126"/>
      <c r="T66" s="126"/>
      <c r="U66" s="127"/>
      <c r="V66" s="128"/>
      <c r="W66" s="129"/>
      <c r="X66" s="129"/>
      <c r="Y66" s="130"/>
      <c r="Z66" s="186"/>
      <c r="AA66" s="130"/>
      <c r="AB66" s="183"/>
      <c r="AC66" s="131"/>
      <c r="AD66" s="132"/>
      <c r="AE66" s="63"/>
      <c r="AF66" s="64"/>
    </row>
    <row r="67" spans="1:32" ht="20.25" customHeight="1" x14ac:dyDescent="0.25">
      <c r="A67" s="133">
        <v>61</v>
      </c>
      <c r="B67" s="134"/>
      <c r="C67" s="135"/>
      <c r="D67" s="136"/>
      <c r="E67" s="137"/>
      <c r="F67" s="138"/>
      <c r="G67" s="139"/>
      <c r="H67" s="140"/>
      <c r="I67" s="141"/>
      <c r="J67" s="142"/>
      <c r="K67" s="142"/>
      <c r="L67" s="143"/>
      <c r="M67" s="144"/>
      <c r="N67" s="191"/>
      <c r="O67" s="145"/>
      <c r="P67" s="146"/>
      <c r="Q67" s="147"/>
      <c r="R67" s="137"/>
      <c r="S67" s="148"/>
      <c r="T67" s="148"/>
      <c r="U67" s="149"/>
      <c r="V67" s="128"/>
      <c r="W67" s="129"/>
      <c r="X67" s="129"/>
      <c r="Y67" s="130"/>
      <c r="Z67" s="186"/>
      <c r="AA67" s="130"/>
      <c r="AB67" s="183"/>
      <c r="AC67" s="131"/>
      <c r="AD67" s="132"/>
      <c r="AE67" s="63"/>
      <c r="AF67" s="64"/>
    </row>
    <row r="68" spans="1:32" ht="20.25" customHeight="1" x14ac:dyDescent="0.25">
      <c r="A68" s="111">
        <v>62</v>
      </c>
      <c r="B68" s="112"/>
      <c r="C68" s="113"/>
      <c r="D68" s="114"/>
      <c r="E68" s="115"/>
      <c r="F68" s="116"/>
      <c r="G68" s="117"/>
      <c r="H68" s="118"/>
      <c r="I68" s="119"/>
      <c r="J68" s="120"/>
      <c r="K68" s="120"/>
      <c r="L68" s="121"/>
      <c r="M68" s="122"/>
      <c r="N68" s="190"/>
      <c r="O68" s="123"/>
      <c r="P68" s="124"/>
      <c r="Q68" s="125"/>
      <c r="R68" s="115"/>
      <c r="S68" s="126"/>
      <c r="T68" s="126"/>
      <c r="U68" s="127"/>
      <c r="V68" s="128"/>
      <c r="W68" s="129"/>
      <c r="X68" s="129"/>
      <c r="Y68" s="130"/>
      <c r="Z68" s="186"/>
      <c r="AA68" s="130"/>
      <c r="AB68" s="183"/>
      <c r="AC68" s="131"/>
      <c r="AD68" s="132"/>
      <c r="AE68" s="63"/>
      <c r="AF68" s="64"/>
    </row>
    <row r="69" spans="1:32" ht="20.25" customHeight="1" x14ac:dyDescent="0.25">
      <c r="A69" s="133">
        <v>63</v>
      </c>
      <c r="B69" s="134"/>
      <c r="C69" s="135"/>
      <c r="D69" s="136"/>
      <c r="E69" s="137"/>
      <c r="F69" s="138"/>
      <c r="G69" s="139"/>
      <c r="H69" s="140"/>
      <c r="I69" s="141"/>
      <c r="J69" s="142"/>
      <c r="K69" s="142"/>
      <c r="L69" s="143"/>
      <c r="M69" s="144"/>
      <c r="N69" s="191"/>
      <c r="O69" s="145"/>
      <c r="P69" s="146"/>
      <c r="Q69" s="147"/>
      <c r="R69" s="137"/>
      <c r="S69" s="148"/>
      <c r="T69" s="148"/>
      <c r="U69" s="149"/>
      <c r="V69" s="128"/>
      <c r="W69" s="129"/>
      <c r="X69" s="129"/>
      <c r="Y69" s="130"/>
      <c r="Z69" s="186"/>
      <c r="AA69" s="130"/>
      <c r="AB69" s="183"/>
      <c r="AC69" s="131"/>
      <c r="AD69" s="132"/>
      <c r="AE69" s="63"/>
      <c r="AF69" s="64"/>
    </row>
    <row r="70" spans="1:32" ht="20.25" customHeight="1" x14ac:dyDescent="0.25">
      <c r="A70" s="111">
        <v>64</v>
      </c>
      <c r="B70" s="112"/>
      <c r="C70" s="113"/>
      <c r="D70" s="114"/>
      <c r="E70" s="115"/>
      <c r="F70" s="116"/>
      <c r="G70" s="117"/>
      <c r="H70" s="118"/>
      <c r="I70" s="119"/>
      <c r="J70" s="120"/>
      <c r="K70" s="120"/>
      <c r="L70" s="121"/>
      <c r="M70" s="122"/>
      <c r="N70" s="190"/>
      <c r="O70" s="123"/>
      <c r="P70" s="124"/>
      <c r="Q70" s="125"/>
      <c r="R70" s="115"/>
      <c r="S70" s="126"/>
      <c r="T70" s="126"/>
      <c r="U70" s="127"/>
      <c r="V70" s="128"/>
      <c r="W70" s="129"/>
      <c r="X70" s="129"/>
      <c r="Y70" s="130"/>
      <c r="Z70" s="186"/>
      <c r="AA70" s="130"/>
      <c r="AB70" s="183"/>
      <c r="AC70" s="131"/>
      <c r="AD70" s="132"/>
      <c r="AE70" s="63"/>
      <c r="AF70" s="64"/>
    </row>
    <row r="71" spans="1:32" ht="20.25" customHeight="1" x14ac:dyDescent="0.25">
      <c r="A71" s="133">
        <v>65</v>
      </c>
      <c r="B71" s="134"/>
      <c r="C71" s="135"/>
      <c r="D71" s="136"/>
      <c r="E71" s="137"/>
      <c r="F71" s="138"/>
      <c r="G71" s="139"/>
      <c r="H71" s="140"/>
      <c r="I71" s="141"/>
      <c r="J71" s="142"/>
      <c r="K71" s="142"/>
      <c r="L71" s="143"/>
      <c r="M71" s="144"/>
      <c r="N71" s="191"/>
      <c r="O71" s="145"/>
      <c r="P71" s="146"/>
      <c r="Q71" s="147"/>
      <c r="R71" s="137"/>
      <c r="S71" s="148"/>
      <c r="T71" s="148"/>
      <c r="U71" s="149"/>
      <c r="V71" s="128"/>
      <c r="W71" s="129"/>
      <c r="X71" s="129"/>
      <c r="Y71" s="130"/>
      <c r="Z71" s="186"/>
      <c r="AA71" s="130"/>
      <c r="AB71" s="183"/>
      <c r="AC71" s="131"/>
      <c r="AD71" s="132"/>
      <c r="AE71" s="63"/>
      <c r="AF71" s="64"/>
    </row>
    <row r="72" spans="1:32" ht="20.25" customHeight="1" x14ac:dyDescent="0.25">
      <c r="A72" s="111">
        <v>66</v>
      </c>
      <c r="B72" s="112"/>
      <c r="C72" s="113"/>
      <c r="D72" s="114"/>
      <c r="E72" s="115"/>
      <c r="F72" s="116"/>
      <c r="G72" s="117"/>
      <c r="H72" s="118"/>
      <c r="I72" s="119"/>
      <c r="J72" s="120"/>
      <c r="K72" s="120"/>
      <c r="L72" s="121"/>
      <c r="M72" s="122"/>
      <c r="N72" s="190"/>
      <c r="O72" s="123"/>
      <c r="P72" s="124"/>
      <c r="Q72" s="125"/>
      <c r="R72" s="115"/>
      <c r="S72" s="126"/>
      <c r="T72" s="126"/>
      <c r="U72" s="127"/>
      <c r="V72" s="128"/>
      <c r="W72" s="129"/>
      <c r="X72" s="129"/>
      <c r="Y72" s="130"/>
      <c r="Z72" s="186"/>
      <c r="AA72" s="130"/>
      <c r="AB72" s="183"/>
      <c r="AC72" s="131"/>
      <c r="AD72" s="132"/>
      <c r="AE72" s="63"/>
      <c r="AF72" s="64"/>
    </row>
    <row r="73" spans="1:32" ht="20.25" customHeight="1" x14ac:dyDescent="0.25">
      <c r="A73" s="133">
        <v>67</v>
      </c>
      <c r="B73" s="134"/>
      <c r="C73" s="135"/>
      <c r="D73" s="136"/>
      <c r="E73" s="137"/>
      <c r="F73" s="138"/>
      <c r="G73" s="139"/>
      <c r="H73" s="140"/>
      <c r="I73" s="141"/>
      <c r="J73" s="142"/>
      <c r="K73" s="142"/>
      <c r="L73" s="143"/>
      <c r="M73" s="144"/>
      <c r="N73" s="191"/>
      <c r="O73" s="145"/>
      <c r="P73" s="146"/>
      <c r="Q73" s="147"/>
      <c r="R73" s="137"/>
      <c r="S73" s="148"/>
      <c r="T73" s="148"/>
      <c r="U73" s="149"/>
      <c r="V73" s="128"/>
      <c r="W73" s="129"/>
      <c r="X73" s="129"/>
      <c r="Y73" s="130"/>
      <c r="Z73" s="186"/>
      <c r="AA73" s="130"/>
      <c r="AB73" s="183"/>
      <c r="AC73" s="131"/>
      <c r="AD73" s="132"/>
      <c r="AE73" s="63"/>
      <c r="AF73" s="64"/>
    </row>
    <row r="74" spans="1:32" ht="20.25" customHeight="1" x14ac:dyDescent="0.25">
      <c r="A74" s="111">
        <v>68</v>
      </c>
      <c r="B74" s="112"/>
      <c r="C74" s="113"/>
      <c r="D74" s="114"/>
      <c r="E74" s="115"/>
      <c r="F74" s="116"/>
      <c r="G74" s="117"/>
      <c r="H74" s="118"/>
      <c r="I74" s="119"/>
      <c r="J74" s="120"/>
      <c r="K74" s="120"/>
      <c r="L74" s="121"/>
      <c r="M74" s="122"/>
      <c r="N74" s="190"/>
      <c r="O74" s="123"/>
      <c r="P74" s="124"/>
      <c r="Q74" s="125"/>
      <c r="R74" s="115"/>
      <c r="S74" s="126"/>
      <c r="T74" s="126"/>
      <c r="U74" s="127"/>
      <c r="V74" s="128"/>
      <c r="W74" s="129"/>
      <c r="X74" s="129"/>
      <c r="Y74" s="130"/>
      <c r="Z74" s="186"/>
      <c r="AA74" s="130"/>
      <c r="AB74" s="183"/>
      <c r="AC74" s="131"/>
      <c r="AD74" s="132"/>
      <c r="AE74" s="63"/>
      <c r="AF74" s="64"/>
    </row>
    <row r="75" spans="1:32" ht="20.25" customHeight="1" x14ac:dyDescent="0.25">
      <c r="A75" s="133">
        <v>69</v>
      </c>
      <c r="B75" s="134"/>
      <c r="C75" s="135"/>
      <c r="D75" s="136"/>
      <c r="E75" s="137"/>
      <c r="F75" s="138"/>
      <c r="G75" s="139"/>
      <c r="H75" s="140"/>
      <c r="I75" s="141"/>
      <c r="J75" s="142"/>
      <c r="K75" s="142"/>
      <c r="L75" s="143"/>
      <c r="M75" s="144"/>
      <c r="N75" s="191"/>
      <c r="O75" s="145"/>
      <c r="P75" s="146"/>
      <c r="Q75" s="147"/>
      <c r="R75" s="137"/>
      <c r="S75" s="148"/>
      <c r="T75" s="148"/>
      <c r="U75" s="149"/>
      <c r="V75" s="128"/>
      <c r="W75" s="129"/>
      <c r="X75" s="129"/>
      <c r="Y75" s="130"/>
      <c r="Z75" s="186"/>
      <c r="AA75" s="130"/>
      <c r="AB75" s="183"/>
      <c r="AC75" s="131"/>
      <c r="AD75" s="132"/>
      <c r="AE75" s="63"/>
      <c r="AF75" s="64"/>
    </row>
    <row r="76" spans="1:32" ht="20.25" customHeight="1" x14ac:dyDescent="0.25">
      <c r="A76" s="111">
        <v>70</v>
      </c>
      <c r="B76" s="112"/>
      <c r="C76" s="113"/>
      <c r="D76" s="114"/>
      <c r="E76" s="115"/>
      <c r="F76" s="116"/>
      <c r="G76" s="117"/>
      <c r="H76" s="118"/>
      <c r="I76" s="119"/>
      <c r="J76" s="120"/>
      <c r="K76" s="120"/>
      <c r="L76" s="121"/>
      <c r="M76" s="122"/>
      <c r="N76" s="190"/>
      <c r="O76" s="123"/>
      <c r="P76" s="124"/>
      <c r="Q76" s="125"/>
      <c r="R76" s="115"/>
      <c r="S76" s="126"/>
      <c r="T76" s="126"/>
      <c r="U76" s="127"/>
      <c r="V76" s="128"/>
      <c r="W76" s="129"/>
      <c r="X76" s="129"/>
      <c r="Y76" s="130"/>
      <c r="Z76" s="186"/>
      <c r="AA76" s="130"/>
      <c r="AB76" s="183"/>
      <c r="AC76" s="131"/>
      <c r="AD76" s="132"/>
      <c r="AE76" s="63"/>
      <c r="AF76" s="64"/>
    </row>
    <row r="77" spans="1:32" ht="20.25" customHeight="1" x14ac:dyDescent="0.25">
      <c r="A77" s="133">
        <v>71</v>
      </c>
      <c r="B77" s="134"/>
      <c r="C77" s="135"/>
      <c r="D77" s="136"/>
      <c r="E77" s="137"/>
      <c r="F77" s="138"/>
      <c r="G77" s="139"/>
      <c r="H77" s="140"/>
      <c r="I77" s="141"/>
      <c r="J77" s="142"/>
      <c r="K77" s="142"/>
      <c r="L77" s="143"/>
      <c r="M77" s="144"/>
      <c r="N77" s="191"/>
      <c r="O77" s="145"/>
      <c r="P77" s="146"/>
      <c r="Q77" s="147"/>
      <c r="R77" s="137"/>
      <c r="S77" s="148"/>
      <c r="T77" s="148"/>
      <c r="U77" s="149"/>
      <c r="V77" s="128"/>
      <c r="W77" s="129"/>
      <c r="X77" s="129"/>
      <c r="Y77" s="130"/>
      <c r="Z77" s="186"/>
      <c r="AA77" s="130"/>
      <c r="AB77" s="183"/>
      <c r="AC77" s="131"/>
      <c r="AD77" s="132"/>
      <c r="AE77" s="63"/>
      <c r="AF77" s="64"/>
    </row>
    <row r="78" spans="1:32" ht="20.25" customHeight="1" x14ac:dyDescent="0.25">
      <c r="A78" s="111">
        <v>72</v>
      </c>
      <c r="B78" s="112"/>
      <c r="C78" s="113"/>
      <c r="D78" s="114"/>
      <c r="E78" s="115"/>
      <c r="F78" s="116"/>
      <c r="G78" s="117"/>
      <c r="H78" s="118"/>
      <c r="I78" s="119"/>
      <c r="J78" s="120"/>
      <c r="K78" s="120"/>
      <c r="L78" s="121"/>
      <c r="M78" s="122"/>
      <c r="N78" s="190"/>
      <c r="O78" s="123"/>
      <c r="P78" s="124"/>
      <c r="Q78" s="125"/>
      <c r="R78" s="115"/>
      <c r="S78" s="126"/>
      <c r="T78" s="126"/>
      <c r="U78" s="127"/>
      <c r="V78" s="128"/>
      <c r="W78" s="129"/>
      <c r="X78" s="129"/>
      <c r="Y78" s="130"/>
      <c r="Z78" s="186"/>
      <c r="AA78" s="130"/>
      <c r="AB78" s="183"/>
      <c r="AC78" s="131"/>
      <c r="AD78" s="132"/>
      <c r="AE78" s="63"/>
      <c r="AF78" s="64"/>
    </row>
    <row r="79" spans="1:32" ht="20.25" customHeight="1" x14ac:dyDescent="0.25">
      <c r="A79" s="133">
        <v>73</v>
      </c>
      <c r="B79" s="134"/>
      <c r="C79" s="135"/>
      <c r="D79" s="136"/>
      <c r="E79" s="137"/>
      <c r="F79" s="138"/>
      <c r="G79" s="139"/>
      <c r="H79" s="140"/>
      <c r="I79" s="141"/>
      <c r="J79" s="142"/>
      <c r="K79" s="142"/>
      <c r="L79" s="143"/>
      <c r="M79" s="144"/>
      <c r="N79" s="191"/>
      <c r="O79" s="145"/>
      <c r="P79" s="146"/>
      <c r="Q79" s="147"/>
      <c r="R79" s="137"/>
      <c r="S79" s="148"/>
      <c r="T79" s="148"/>
      <c r="U79" s="149"/>
      <c r="V79" s="128"/>
      <c r="W79" s="129"/>
      <c r="X79" s="129"/>
      <c r="Y79" s="130"/>
      <c r="Z79" s="186"/>
      <c r="AA79" s="130"/>
      <c r="AB79" s="183"/>
      <c r="AC79" s="131"/>
      <c r="AD79" s="132"/>
      <c r="AE79" s="63"/>
      <c r="AF79" s="64"/>
    </row>
    <row r="80" spans="1:32" ht="20.25" customHeight="1" x14ac:dyDescent="0.25">
      <c r="A80" s="111">
        <v>74</v>
      </c>
      <c r="B80" s="112"/>
      <c r="C80" s="113"/>
      <c r="D80" s="114"/>
      <c r="E80" s="115"/>
      <c r="F80" s="116"/>
      <c r="G80" s="117"/>
      <c r="H80" s="118"/>
      <c r="I80" s="119"/>
      <c r="J80" s="120"/>
      <c r="K80" s="120"/>
      <c r="L80" s="121"/>
      <c r="M80" s="122"/>
      <c r="N80" s="190"/>
      <c r="O80" s="123"/>
      <c r="P80" s="124"/>
      <c r="Q80" s="125"/>
      <c r="R80" s="115"/>
      <c r="S80" s="126"/>
      <c r="T80" s="126"/>
      <c r="U80" s="127"/>
      <c r="V80" s="128"/>
      <c r="W80" s="129"/>
      <c r="X80" s="129"/>
      <c r="Y80" s="130"/>
      <c r="Z80" s="186"/>
      <c r="AA80" s="130"/>
      <c r="AB80" s="183"/>
      <c r="AC80" s="131"/>
      <c r="AD80" s="132"/>
      <c r="AE80" s="63"/>
      <c r="AF80" s="64"/>
    </row>
    <row r="81" spans="1:32" ht="20.25" customHeight="1" x14ac:dyDescent="0.25">
      <c r="A81" s="133">
        <v>75</v>
      </c>
      <c r="B81" s="134"/>
      <c r="C81" s="135"/>
      <c r="D81" s="136"/>
      <c r="E81" s="137"/>
      <c r="F81" s="138"/>
      <c r="G81" s="139"/>
      <c r="H81" s="140"/>
      <c r="I81" s="141"/>
      <c r="J81" s="142"/>
      <c r="K81" s="142"/>
      <c r="L81" s="143"/>
      <c r="M81" s="144"/>
      <c r="N81" s="191"/>
      <c r="O81" s="145"/>
      <c r="P81" s="146"/>
      <c r="Q81" s="147"/>
      <c r="R81" s="137"/>
      <c r="S81" s="148"/>
      <c r="T81" s="148"/>
      <c r="U81" s="149"/>
      <c r="V81" s="128"/>
      <c r="W81" s="129"/>
      <c r="X81" s="129"/>
      <c r="Y81" s="130"/>
      <c r="Z81" s="186"/>
      <c r="AA81" s="130"/>
      <c r="AB81" s="183"/>
      <c r="AC81" s="131"/>
      <c r="AD81" s="132"/>
      <c r="AE81" s="63"/>
      <c r="AF81" s="64"/>
    </row>
    <row r="82" spans="1:32" ht="20.25" customHeight="1" x14ac:dyDescent="0.25">
      <c r="A82" s="111">
        <v>76</v>
      </c>
      <c r="B82" s="112"/>
      <c r="C82" s="113"/>
      <c r="D82" s="114"/>
      <c r="E82" s="115"/>
      <c r="F82" s="116"/>
      <c r="G82" s="117"/>
      <c r="H82" s="118"/>
      <c r="I82" s="119"/>
      <c r="J82" s="120"/>
      <c r="K82" s="120"/>
      <c r="L82" s="121"/>
      <c r="M82" s="122"/>
      <c r="N82" s="190"/>
      <c r="O82" s="123"/>
      <c r="P82" s="124"/>
      <c r="Q82" s="125"/>
      <c r="R82" s="115"/>
      <c r="S82" s="126"/>
      <c r="T82" s="126"/>
      <c r="U82" s="127"/>
      <c r="V82" s="128"/>
      <c r="W82" s="129"/>
      <c r="X82" s="129"/>
      <c r="Y82" s="130"/>
      <c r="Z82" s="186"/>
      <c r="AA82" s="130"/>
      <c r="AB82" s="183"/>
      <c r="AC82" s="131"/>
      <c r="AD82" s="132"/>
      <c r="AE82" s="63"/>
      <c r="AF82" s="64"/>
    </row>
    <row r="83" spans="1:32" ht="20.25" customHeight="1" x14ac:dyDescent="0.25">
      <c r="A83" s="133">
        <v>77</v>
      </c>
      <c r="B83" s="134"/>
      <c r="C83" s="135"/>
      <c r="D83" s="136"/>
      <c r="E83" s="137"/>
      <c r="F83" s="138"/>
      <c r="G83" s="139"/>
      <c r="H83" s="140"/>
      <c r="I83" s="141"/>
      <c r="J83" s="142"/>
      <c r="K83" s="142"/>
      <c r="L83" s="143"/>
      <c r="M83" s="144"/>
      <c r="N83" s="191"/>
      <c r="O83" s="145"/>
      <c r="P83" s="146"/>
      <c r="Q83" s="147"/>
      <c r="R83" s="137"/>
      <c r="S83" s="148"/>
      <c r="T83" s="148"/>
      <c r="U83" s="149"/>
      <c r="V83" s="128"/>
      <c r="W83" s="129"/>
      <c r="X83" s="129"/>
      <c r="Y83" s="130"/>
      <c r="Z83" s="186"/>
      <c r="AA83" s="130"/>
      <c r="AB83" s="183"/>
      <c r="AC83" s="131"/>
      <c r="AD83" s="132"/>
      <c r="AE83" s="63"/>
      <c r="AF83" s="64"/>
    </row>
    <row r="84" spans="1:32" ht="20.25" customHeight="1" x14ac:dyDescent="0.25">
      <c r="A84" s="111">
        <v>78</v>
      </c>
      <c r="B84" s="112"/>
      <c r="C84" s="113"/>
      <c r="D84" s="114"/>
      <c r="E84" s="115"/>
      <c r="F84" s="116"/>
      <c r="G84" s="117"/>
      <c r="H84" s="118"/>
      <c r="I84" s="119"/>
      <c r="J84" s="120"/>
      <c r="K84" s="120"/>
      <c r="L84" s="121"/>
      <c r="M84" s="122"/>
      <c r="N84" s="190"/>
      <c r="O84" s="123"/>
      <c r="P84" s="124"/>
      <c r="Q84" s="125"/>
      <c r="R84" s="115"/>
      <c r="S84" s="126"/>
      <c r="T84" s="126"/>
      <c r="U84" s="127"/>
      <c r="V84" s="128"/>
      <c r="W84" s="129"/>
      <c r="X84" s="129"/>
      <c r="Y84" s="130"/>
      <c r="Z84" s="186"/>
      <c r="AA84" s="130"/>
      <c r="AB84" s="183"/>
      <c r="AC84" s="131"/>
      <c r="AD84" s="132"/>
      <c r="AE84" s="63"/>
      <c r="AF84" s="64"/>
    </row>
    <row r="85" spans="1:32" ht="20.25" customHeight="1" x14ac:dyDescent="0.25">
      <c r="A85" s="133">
        <v>79</v>
      </c>
      <c r="B85" s="134"/>
      <c r="C85" s="135"/>
      <c r="D85" s="136"/>
      <c r="E85" s="137"/>
      <c r="F85" s="138"/>
      <c r="G85" s="139"/>
      <c r="H85" s="140"/>
      <c r="I85" s="141"/>
      <c r="J85" s="142"/>
      <c r="K85" s="142"/>
      <c r="L85" s="143"/>
      <c r="M85" s="144"/>
      <c r="N85" s="191"/>
      <c r="O85" s="145"/>
      <c r="P85" s="146"/>
      <c r="Q85" s="147"/>
      <c r="R85" s="137"/>
      <c r="S85" s="148"/>
      <c r="T85" s="148"/>
      <c r="U85" s="149"/>
      <c r="V85" s="128"/>
      <c r="W85" s="129"/>
      <c r="X85" s="129"/>
      <c r="Y85" s="130"/>
      <c r="Z85" s="186"/>
      <c r="AA85" s="130"/>
      <c r="AB85" s="183"/>
      <c r="AC85" s="131"/>
      <c r="AD85" s="132"/>
      <c r="AE85" s="63"/>
      <c r="AF85" s="64"/>
    </row>
    <row r="86" spans="1:32" ht="20.25" customHeight="1" x14ac:dyDescent="0.25">
      <c r="A86" s="111">
        <v>80</v>
      </c>
      <c r="B86" s="112"/>
      <c r="C86" s="113"/>
      <c r="D86" s="114"/>
      <c r="E86" s="115"/>
      <c r="F86" s="116"/>
      <c r="G86" s="117"/>
      <c r="H86" s="118"/>
      <c r="I86" s="119"/>
      <c r="J86" s="120"/>
      <c r="K86" s="120"/>
      <c r="L86" s="121"/>
      <c r="M86" s="122"/>
      <c r="N86" s="190"/>
      <c r="O86" s="123"/>
      <c r="P86" s="124"/>
      <c r="Q86" s="125"/>
      <c r="R86" s="115"/>
      <c r="S86" s="126"/>
      <c r="T86" s="126"/>
      <c r="U86" s="127"/>
      <c r="V86" s="128"/>
      <c r="W86" s="129"/>
      <c r="X86" s="129"/>
      <c r="Y86" s="130"/>
      <c r="Z86" s="186"/>
      <c r="AA86" s="130"/>
      <c r="AB86" s="183"/>
      <c r="AC86" s="131"/>
      <c r="AD86" s="132"/>
      <c r="AE86" s="63"/>
      <c r="AF86" s="64"/>
    </row>
    <row r="87" spans="1:32" ht="20.25" customHeight="1" x14ac:dyDescent="0.25">
      <c r="A87" s="133">
        <v>81</v>
      </c>
      <c r="B87" s="134"/>
      <c r="C87" s="135"/>
      <c r="D87" s="136"/>
      <c r="E87" s="137"/>
      <c r="F87" s="138"/>
      <c r="G87" s="139"/>
      <c r="H87" s="140"/>
      <c r="I87" s="141"/>
      <c r="J87" s="142"/>
      <c r="K87" s="142"/>
      <c r="L87" s="143"/>
      <c r="M87" s="144"/>
      <c r="N87" s="191"/>
      <c r="O87" s="145"/>
      <c r="P87" s="146"/>
      <c r="Q87" s="147"/>
      <c r="R87" s="137"/>
      <c r="S87" s="148"/>
      <c r="T87" s="148"/>
      <c r="U87" s="149"/>
      <c r="V87" s="128"/>
      <c r="W87" s="129"/>
      <c r="X87" s="129"/>
      <c r="Y87" s="130"/>
      <c r="Z87" s="186"/>
      <c r="AA87" s="130"/>
      <c r="AB87" s="183"/>
      <c r="AC87" s="131"/>
      <c r="AD87" s="132"/>
      <c r="AE87" s="63"/>
      <c r="AF87" s="64"/>
    </row>
    <row r="88" spans="1:32" ht="20.25" customHeight="1" x14ac:dyDescent="0.25">
      <c r="A88" s="111">
        <v>82</v>
      </c>
      <c r="B88" s="112"/>
      <c r="C88" s="113"/>
      <c r="D88" s="114"/>
      <c r="E88" s="115"/>
      <c r="F88" s="116"/>
      <c r="G88" s="117"/>
      <c r="H88" s="118"/>
      <c r="I88" s="119"/>
      <c r="J88" s="120"/>
      <c r="K88" s="120"/>
      <c r="L88" s="121"/>
      <c r="M88" s="122"/>
      <c r="N88" s="190"/>
      <c r="O88" s="123"/>
      <c r="P88" s="124"/>
      <c r="Q88" s="125"/>
      <c r="R88" s="115"/>
      <c r="S88" s="126"/>
      <c r="T88" s="126"/>
      <c r="U88" s="127"/>
      <c r="V88" s="128"/>
      <c r="W88" s="129"/>
      <c r="X88" s="129"/>
      <c r="Y88" s="130"/>
      <c r="Z88" s="186"/>
      <c r="AA88" s="130"/>
      <c r="AB88" s="183"/>
      <c r="AC88" s="131"/>
      <c r="AD88" s="132"/>
      <c r="AE88" s="63"/>
      <c r="AF88" s="64"/>
    </row>
    <row r="89" spans="1:32" ht="20.25" customHeight="1" x14ac:dyDescent="0.25">
      <c r="A89" s="133">
        <v>83</v>
      </c>
      <c r="B89" s="134"/>
      <c r="C89" s="135"/>
      <c r="D89" s="136"/>
      <c r="E89" s="137"/>
      <c r="F89" s="138"/>
      <c r="G89" s="139"/>
      <c r="H89" s="140"/>
      <c r="I89" s="141"/>
      <c r="J89" s="142"/>
      <c r="K89" s="142"/>
      <c r="L89" s="143"/>
      <c r="M89" s="144"/>
      <c r="N89" s="191"/>
      <c r="O89" s="145"/>
      <c r="P89" s="146"/>
      <c r="Q89" s="147"/>
      <c r="R89" s="137"/>
      <c r="S89" s="148"/>
      <c r="T89" s="148"/>
      <c r="U89" s="149"/>
      <c r="V89" s="128"/>
      <c r="W89" s="129"/>
      <c r="X89" s="129"/>
      <c r="Y89" s="130"/>
      <c r="Z89" s="186"/>
      <c r="AA89" s="130"/>
      <c r="AB89" s="183"/>
      <c r="AC89" s="131"/>
      <c r="AD89" s="132"/>
      <c r="AE89" s="63"/>
      <c r="AF89" s="64"/>
    </row>
    <row r="90" spans="1:32" ht="20.25" customHeight="1" x14ac:dyDescent="0.25">
      <c r="A90" s="111">
        <v>84</v>
      </c>
      <c r="B90" s="112"/>
      <c r="C90" s="113"/>
      <c r="D90" s="114"/>
      <c r="E90" s="115"/>
      <c r="F90" s="116"/>
      <c r="G90" s="117"/>
      <c r="H90" s="118"/>
      <c r="I90" s="119"/>
      <c r="J90" s="120"/>
      <c r="K90" s="120"/>
      <c r="L90" s="121"/>
      <c r="M90" s="122"/>
      <c r="N90" s="190"/>
      <c r="O90" s="123"/>
      <c r="P90" s="124"/>
      <c r="Q90" s="125"/>
      <c r="R90" s="115"/>
      <c r="S90" s="126"/>
      <c r="T90" s="126"/>
      <c r="U90" s="127"/>
      <c r="V90" s="128"/>
      <c r="W90" s="129"/>
      <c r="X90" s="129"/>
      <c r="Y90" s="130"/>
      <c r="Z90" s="186"/>
      <c r="AA90" s="130"/>
      <c r="AB90" s="183"/>
      <c r="AC90" s="131"/>
      <c r="AD90" s="132"/>
      <c r="AE90" s="63"/>
      <c r="AF90" s="64"/>
    </row>
    <row r="91" spans="1:32" ht="20.25" customHeight="1" x14ac:dyDescent="0.25">
      <c r="A91" s="133">
        <v>85</v>
      </c>
      <c r="B91" s="134"/>
      <c r="C91" s="135"/>
      <c r="D91" s="136"/>
      <c r="E91" s="137"/>
      <c r="F91" s="138"/>
      <c r="G91" s="139"/>
      <c r="H91" s="140"/>
      <c r="I91" s="141"/>
      <c r="J91" s="142"/>
      <c r="K91" s="142"/>
      <c r="L91" s="143"/>
      <c r="M91" s="144"/>
      <c r="N91" s="191"/>
      <c r="O91" s="145"/>
      <c r="P91" s="146"/>
      <c r="Q91" s="147"/>
      <c r="R91" s="137"/>
      <c r="S91" s="148"/>
      <c r="T91" s="148"/>
      <c r="U91" s="149"/>
      <c r="V91" s="128"/>
      <c r="W91" s="129"/>
      <c r="X91" s="129"/>
      <c r="Y91" s="130"/>
      <c r="Z91" s="186"/>
      <c r="AA91" s="130"/>
      <c r="AB91" s="183"/>
      <c r="AC91" s="131"/>
      <c r="AD91" s="132"/>
      <c r="AE91" s="63"/>
      <c r="AF91" s="64"/>
    </row>
    <row r="92" spans="1:32" ht="20.25" customHeight="1" x14ac:dyDescent="0.25">
      <c r="A92" s="111">
        <v>86</v>
      </c>
      <c r="B92" s="112"/>
      <c r="C92" s="113"/>
      <c r="D92" s="114"/>
      <c r="E92" s="115"/>
      <c r="F92" s="116"/>
      <c r="G92" s="117"/>
      <c r="H92" s="118"/>
      <c r="I92" s="119"/>
      <c r="J92" s="120"/>
      <c r="K92" s="120"/>
      <c r="L92" s="121"/>
      <c r="M92" s="122"/>
      <c r="N92" s="190"/>
      <c r="O92" s="123"/>
      <c r="P92" s="124"/>
      <c r="Q92" s="125"/>
      <c r="R92" s="115"/>
      <c r="S92" s="126"/>
      <c r="T92" s="126"/>
      <c r="U92" s="127"/>
      <c r="V92" s="128"/>
      <c r="W92" s="129"/>
      <c r="X92" s="129"/>
      <c r="Y92" s="130"/>
      <c r="Z92" s="186"/>
      <c r="AA92" s="130"/>
      <c r="AB92" s="183"/>
      <c r="AC92" s="131"/>
      <c r="AD92" s="132"/>
      <c r="AE92" s="63"/>
      <c r="AF92" s="64"/>
    </row>
    <row r="93" spans="1:32" ht="20.25" customHeight="1" x14ac:dyDescent="0.25">
      <c r="A93" s="133">
        <v>87</v>
      </c>
      <c r="B93" s="134"/>
      <c r="C93" s="135"/>
      <c r="D93" s="136"/>
      <c r="E93" s="137"/>
      <c r="F93" s="138"/>
      <c r="G93" s="139"/>
      <c r="H93" s="140"/>
      <c r="I93" s="141"/>
      <c r="J93" s="142"/>
      <c r="K93" s="142"/>
      <c r="L93" s="143"/>
      <c r="M93" s="144"/>
      <c r="N93" s="191"/>
      <c r="O93" s="145"/>
      <c r="P93" s="146"/>
      <c r="Q93" s="147"/>
      <c r="R93" s="137"/>
      <c r="S93" s="148"/>
      <c r="T93" s="148"/>
      <c r="U93" s="149"/>
      <c r="V93" s="128"/>
      <c r="W93" s="129"/>
      <c r="X93" s="129"/>
      <c r="Y93" s="130"/>
      <c r="Z93" s="186"/>
      <c r="AA93" s="130"/>
      <c r="AB93" s="183"/>
      <c r="AC93" s="131"/>
      <c r="AD93" s="132"/>
      <c r="AE93" s="63"/>
      <c r="AF93" s="64"/>
    </row>
    <row r="94" spans="1:32" ht="20.25" customHeight="1" x14ac:dyDescent="0.25">
      <c r="A94" s="111">
        <v>88</v>
      </c>
      <c r="B94" s="112"/>
      <c r="C94" s="113"/>
      <c r="D94" s="114"/>
      <c r="E94" s="115"/>
      <c r="F94" s="116"/>
      <c r="G94" s="117"/>
      <c r="H94" s="118"/>
      <c r="I94" s="119"/>
      <c r="J94" s="120"/>
      <c r="K94" s="120"/>
      <c r="L94" s="121"/>
      <c r="M94" s="122"/>
      <c r="N94" s="190"/>
      <c r="O94" s="123"/>
      <c r="P94" s="124"/>
      <c r="Q94" s="125"/>
      <c r="R94" s="115"/>
      <c r="S94" s="126"/>
      <c r="T94" s="126"/>
      <c r="U94" s="127"/>
      <c r="V94" s="128"/>
      <c r="W94" s="129"/>
      <c r="X94" s="129"/>
      <c r="Y94" s="130"/>
      <c r="Z94" s="186"/>
      <c r="AA94" s="130"/>
      <c r="AB94" s="183"/>
      <c r="AC94" s="131"/>
      <c r="AD94" s="132"/>
      <c r="AE94" s="63"/>
      <c r="AF94" s="64"/>
    </row>
    <row r="95" spans="1:32" ht="20.25" customHeight="1" x14ac:dyDescent="0.25">
      <c r="A95" s="133">
        <v>89</v>
      </c>
      <c r="B95" s="134"/>
      <c r="C95" s="135"/>
      <c r="D95" s="136"/>
      <c r="E95" s="137"/>
      <c r="F95" s="138"/>
      <c r="G95" s="139"/>
      <c r="H95" s="140"/>
      <c r="I95" s="141"/>
      <c r="J95" s="142"/>
      <c r="K95" s="142"/>
      <c r="L95" s="143"/>
      <c r="M95" s="144"/>
      <c r="N95" s="191"/>
      <c r="O95" s="145"/>
      <c r="P95" s="146"/>
      <c r="Q95" s="147"/>
      <c r="R95" s="137"/>
      <c r="S95" s="148"/>
      <c r="T95" s="148"/>
      <c r="U95" s="149"/>
      <c r="V95" s="128"/>
      <c r="W95" s="129"/>
      <c r="X95" s="129"/>
      <c r="Y95" s="130"/>
      <c r="Z95" s="186"/>
      <c r="AA95" s="130"/>
      <c r="AB95" s="183"/>
      <c r="AC95" s="131"/>
      <c r="AD95" s="132"/>
      <c r="AE95" s="63"/>
      <c r="AF95" s="64"/>
    </row>
    <row r="96" spans="1:32" ht="20.25" customHeight="1" x14ac:dyDescent="0.25">
      <c r="A96" s="111">
        <v>90</v>
      </c>
      <c r="B96" s="112"/>
      <c r="C96" s="113"/>
      <c r="D96" s="114"/>
      <c r="E96" s="115"/>
      <c r="F96" s="116"/>
      <c r="G96" s="117"/>
      <c r="H96" s="118"/>
      <c r="I96" s="119"/>
      <c r="J96" s="120"/>
      <c r="K96" s="120"/>
      <c r="L96" s="121"/>
      <c r="M96" s="122"/>
      <c r="N96" s="190"/>
      <c r="O96" s="123"/>
      <c r="P96" s="124"/>
      <c r="Q96" s="125"/>
      <c r="R96" s="115"/>
      <c r="S96" s="126"/>
      <c r="T96" s="126"/>
      <c r="U96" s="127"/>
      <c r="V96" s="128"/>
      <c r="W96" s="129"/>
      <c r="X96" s="129"/>
      <c r="Y96" s="130"/>
      <c r="Z96" s="186"/>
      <c r="AA96" s="130"/>
      <c r="AB96" s="183"/>
      <c r="AC96" s="131"/>
      <c r="AD96" s="132"/>
      <c r="AE96" s="63"/>
      <c r="AF96" s="64"/>
    </row>
    <row r="97" spans="1:32" ht="20.25" customHeight="1" x14ac:dyDescent="0.25">
      <c r="A97" s="133">
        <v>91</v>
      </c>
      <c r="B97" s="134"/>
      <c r="C97" s="135"/>
      <c r="D97" s="136"/>
      <c r="E97" s="137"/>
      <c r="F97" s="138"/>
      <c r="G97" s="139"/>
      <c r="H97" s="140"/>
      <c r="I97" s="141"/>
      <c r="J97" s="142"/>
      <c r="K97" s="142"/>
      <c r="L97" s="143"/>
      <c r="M97" s="144"/>
      <c r="N97" s="191"/>
      <c r="O97" s="145"/>
      <c r="P97" s="146"/>
      <c r="Q97" s="147"/>
      <c r="R97" s="137"/>
      <c r="S97" s="148"/>
      <c r="T97" s="148"/>
      <c r="U97" s="149"/>
      <c r="V97" s="128"/>
      <c r="W97" s="129"/>
      <c r="X97" s="129"/>
      <c r="Y97" s="130"/>
      <c r="Z97" s="186"/>
      <c r="AA97" s="130"/>
      <c r="AB97" s="183"/>
      <c r="AC97" s="131"/>
      <c r="AD97" s="132"/>
      <c r="AE97" s="63"/>
      <c r="AF97" s="64"/>
    </row>
    <row r="98" spans="1:32" ht="20.25" customHeight="1" x14ac:dyDescent="0.25">
      <c r="A98" s="111">
        <v>92</v>
      </c>
      <c r="B98" s="112"/>
      <c r="C98" s="113"/>
      <c r="D98" s="114"/>
      <c r="E98" s="115"/>
      <c r="F98" s="116"/>
      <c r="G98" s="117"/>
      <c r="H98" s="118"/>
      <c r="I98" s="119"/>
      <c r="J98" s="120"/>
      <c r="K98" s="120"/>
      <c r="L98" s="121"/>
      <c r="M98" s="122"/>
      <c r="N98" s="190"/>
      <c r="O98" s="123"/>
      <c r="P98" s="124"/>
      <c r="Q98" s="125"/>
      <c r="R98" s="115"/>
      <c r="S98" s="126"/>
      <c r="T98" s="126"/>
      <c r="U98" s="127"/>
      <c r="V98" s="128"/>
      <c r="W98" s="129"/>
      <c r="X98" s="129"/>
      <c r="Y98" s="130"/>
      <c r="Z98" s="186"/>
      <c r="AA98" s="130"/>
      <c r="AB98" s="183"/>
      <c r="AC98" s="131"/>
      <c r="AD98" s="132"/>
      <c r="AE98" s="63"/>
      <c r="AF98" s="64"/>
    </row>
    <row r="99" spans="1:32" ht="20.25" customHeight="1" x14ac:dyDescent="0.25">
      <c r="A99" s="133">
        <v>93</v>
      </c>
      <c r="B99" s="134"/>
      <c r="C99" s="135"/>
      <c r="D99" s="136"/>
      <c r="E99" s="137"/>
      <c r="F99" s="138"/>
      <c r="G99" s="139"/>
      <c r="H99" s="140"/>
      <c r="I99" s="141"/>
      <c r="J99" s="142"/>
      <c r="K99" s="142"/>
      <c r="L99" s="143"/>
      <c r="M99" s="144"/>
      <c r="N99" s="191"/>
      <c r="O99" s="145"/>
      <c r="P99" s="146"/>
      <c r="Q99" s="147"/>
      <c r="R99" s="137"/>
      <c r="S99" s="148"/>
      <c r="T99" s="148"/>
      <c r="U99" s="149"/>
      <c r="V99" s="128"/>
      <c r="W99" s="129"/>
      <c r="X99" s="129"/>
      <c r="Y99" s="130"/>
      <c r="Z99" s="186"/>
      <c r="AA99" s="130"/>
      <c r="AB99" s="183"/>
      <c r="AC99" s="131"/>
      <c r="AD99" s="132"/>
      <c r="AE99" s="63"/>
      <c r="AF99" s="64"/>
    </row>
    <row r="100" spans="1:32" ht="20.25" customHeight="1" x14ac:dyDescent="0.25">
      <c r="A100" s="111">
        <v>94</v>
      </c>
      <c r="B100" s="112"/>
      <c r="C100" s="113"/>
      <c r="D100" s="114"/>
      <c r="E100" s="115"/>
      <c r="F100" s="116"/>
      <c r="G100" s="117"/>
      <c r="H100" s="118"/>
      <c r="I100" s="119"/>
      <c r="J100" s="120"/>
      <c r="K100" s="120"/>
      <c r="L100" s="121"/>
      <c r="M100" s="122"/>
      <c r="N100" s="190"/>
      <c r="O100" s="123"/>
      <c r="P100" s="124"/>
      <c r="Q100" s="125"/>
      <c r="R100" s="115"/>
      <c r="S100" s="126"/>
      <c r="T100" s="126"/>
      <c r="U100" s="127"/>
      <c r="V100" s="128"/>
      <c r="W100" s="129"/>
      <c r="X100" s="129"/>
      <c r="Y100" s="130"/>
      <c r="Z100" s="186"/>
      <c r="AA100" s="130"/>
      <c r="AB100" s="183"/>
      <c r="AC100" s="131"/>
      <c r="AD100" s="132"/>
      <c r="AE100" s="63"/>
      <c r="AF100" s="64"/>
    </row>
    <row r="101" spans="1:32" ht="20.25" customHeight="1" x14ac:dyDescent="0.25">
      <c r="A101" s="133">
        <v>95</v>
      </c>
      <c r="B101" s="134"/>
      <c r="C101" s="135"/>
      <c r="D101" s="136"/>
      <c r="E101" s="137"/>
      <c r="F101" s="138"/>
      <c r="G101" s="139"/>
      <c r="H101" s="140"/>
      <c r="I101" s="141"/>
      <c r="J101" s="142"/>
      <c r="K101" s="142"/>
      <c r="L101" s="143"/>
      <c r="M101" s="144"/>
      <c r="N101" s="191"/>
      <c r="O101" s="145"/>
      <c r="P101" s="146"/>
      <c r="Q101" s="147"/>
      <c r="R101" s="137"/>
      <c r="S101" s="148"/>
      <c r="T101" s="148"/>
      <c r="U101" s="149"/>
      <c r="V101" s="128"/>
      <c r="W101" s="129"/>
      <c r="X101" s="129"/>
      <c r="Y101" s="130"/>
      <c r="Z101" s="186"/>
      <c r="AA101" s="130"/>
      <c r="AB101" s="183"/>
      <c r="AC101" s="131"/>
      <c r="AD101" s="132"/>
      <c r="AE101" s="63"/>
      <c r="AF101" s="64"/>
    </row>
    <row r="102" spans="1:32" ht="20.25" customHeight="1" x14ac:dyDescent="0.25">
      <c r="A102" s="111">
        <v>96</v>
      </c>
      <c r="B102" s="112"/>
      <c r="C102" s="113"/>
      <c r="D102" s="114"/>
      <c r="E102" s="115"/>
      <c r="F102" s="116"/>
      <c r="G102" s="117"/>
      <c r="H102" s="118"/>
      <c r="I102" s="119"/>
      <c r="J102" s="120"/>
      <c r="K102" s="120"/>
      <c r="L102" s="121"/>
      <c r="M102" s="122"/>
      <c r="N102" s="190"/>
      <c r="O102" s="123"/>
      <c r="P102" s="124"/>
      <c r="Q102" s="125"/>
      <c r="R102" s="115"/>
      <c r="S102" s="126"/>
      <c r="T102" s="126"/>
      <c r="U102" s="127"/>
      <c r="V102" s="128"/>
      <c r="W102" s="129"/>
      <c r="X102" s="129"/>
      <c r="Y102" s="130"/>
      <c r="Z102" s="186"/>
      <c r="AA102" s="130"/>
      <c r="AB102" s="183"/>
      <c r="AC102" s="131"/>
      <c r="AD102" s="132"/>
      <c r="AE102" s="63"/>
      <c r="AF102" s="64"/>
    </row>
    <row r="103" spans="1:32" ht="20.25" customHeight="1" x14ac:dyDescent="0.25">
      <c r="A103" s="133">
        <v>97</v>
      </c>
      <c r="B103" s="134"/>
      <c r="C103" s="135"/>
      <c r="D103" s="136"/>
      <c r="E103" s="137"/>
      <c r="F103" s="138"/>
      <c r="G103" s="139"/>
      <c r="H103" s="140"/>
      <c r="I103" s="141"/>
      <c r="J103" s="142"/>
      <c r="K103" s="142"/>
      <c r="L103" s="143"/>
      <c r="M103" s="144"/>
      <c r="N103" s="191"/>
      <c r="O103" s="145"/>
      <c r="P103" s="146"/>
      <c r="Q103" s="147"/>
      <c r="R103" s="137"/>
      <c r="S103" s="148"/>
      <c r="T103" s="148"/>
      <c r="U103" s="149"/>
      <c r="V103" s="128"/>
      <c r="W103" s="129"/>
      <c r="X103" s="129"/>
      <c r="Y103" s="130"/>
      <c r="Z103" s="186"/>
      <c r="AA103" s="130"/>
      <c r="AB103" s="183"/>
      <c r="AC103" s="131"/>
      <c r="AD103" s="132"/>
      <c r="AE103" s="63"/>
      <c r="AF103" s="64"/>
    </row>
    <row r="104" spans="1:32" ht="20.25" customHeight="1" x14ac:dyDescent="0.25">
      <c r="A104" s="111">
        <v>98</v>
      </c>
      <c r="B104" s="112"/>
      <c r="C104" s="113"/>
      <c r="D104" s="114"/>
      <c r="E104" s="115"/>
      <c r="F104" s="116"/>
      <c r="G104" s="117"/>
      <c r="H104" s="118"/>
      <c r="I104" s="119"/>
      <c r="J104" s="120"/>
      <c r="K104" s="120"/>
      <c r="L104" s="121"/>
      <c r="M104" s="122"/>
      <c r="N104" s="190"/>
      <c r="O104" s="123"/>
      <c r="P104" s="124"/>
      <c r="Q104" s="125"/>
      <c r="R104" s="115"/>
      <c r="S104" s="126"/>
      <c r="T104" s="126"/>
      <c r="U104" s="127"/>
      <c r="V104" s="128"/>
      <c r="W104" s="129"/>
      <c r="X104" s="129"/>
      <c r="Y104" s="130"/>
      <c r="Z104" s="186"/>
      <c r="AA104" s="130"/>
      <c r="AB104" s="183"/>
      <c r="AC104" s="131"/>
      <c r="AD104" s="132"/>
      <c r="AE104" s="63"/>
      <c r="AF104" s="64"/>
    </row>
    <row r="105" spans="1:32" ht="20.25" customHeight="1" x14ac:dyDescent="0.25">
      <c r="A105" s="133">
        <v>99</v>
      </c>
      <c r="B105" s="134"/>
      <c r="C105" s="135"/>
      <c r="D105" s="136"/>
      <c r="E105" s="137"/>
      <c r="F105" s="138"/>
      <c r="G105" s="139"/>
      <c r="H105" s="140"/>
      <c r="I105" s="141"/>
      <c r="J105" s="142"/>
      <c r="K105" s="142"/>
      <c r="L105" s="143"/>
      <c r="M105" s="144"/>
      <c r="N105" s="191"/>
      <c r="O105" s="145"/>
      <c r="P105" s="146"/>
      <c r="Q105" s="147"/>
      <c r="R105" s="137"/>
      <c r="S105" s="148"/>
      <c r="T105" s="148"/>
      <c r="U105" s="149"/>
      <c r="V105" s="128"/>
      <c r="W105" s="129"/>
      <c r="X105" s="129"/>
      <c r="Y105" s="130"/>
      <c r="Z105" s="186"/>
      <c r="AA105" s="130"/>
      <c r="AB105" s="183"/>
      <c r="AC105" s="131"/>
      <c r="AD105" s="132"/>
      <c r="AE105" s="63"/>
      <c r="AF105" s="64"/>
    </row>
    <row r="106" spans="1:32" ht="20.25" customHeight="1" thickBot="1" x14ac:dyDescent="0.3">
      <c r="A106" s="150">
        <v>100</v>
      </c>
      <c r="B106" s="151"/>
      <c r="C106" s="152"/>
      <c r="D106" s="153"/>
      <c r="E106" s="154"/>
      <c r="F106" s="155"/>
      <c r="G106" s="156"/>
      <c r="H106" s="157"/>
      <c r="I106" s="158"/>
      <c r="J106" s="159"/>
      <c r="K106" s="159"/>
      <c r="L106" s="160"/>
      <c r="M106" s="161"/>
      <c r="N106" s="192"/>
      <c r="O106" s="162"/>
      <c r="P106" s="163"/>
      <c r="Q106" s="164"/>
      <c r="R106" s="154"/>
      <c r="S106" s="165"/>
      <c r="T106" s="165"/>
      <c r="U106" s="166"/>
      <c r="V106" s="167"/>
      <c r="W106" s="168"/>
      <c r="X106" s="168"/>
      <c r="Y106" s="169"/>
      <c r="Z106" s="187"/>
      <c r="AA106" s="169"/>
      <c r="AB106" s="184"/>
      <c r="AC106" s="170"/>
      <c r="AD106" s="171"/>
      <c r="AE106" s="63"/>
      <c r="AF106" s="64"/>
    </row>
  </sheetData>
  <sheetProtection password="D767" sheet="1"/>
  <autoFilter ref="B2:C2"/>
  <mergeCells count="15">
    <mergeCell ref="A4:B4"/>
    <mergeCell ref="A1:U1"/>
    <mergeCell ref="V1:AD1"/>
    <mergeCell ref="F2:F3"/>
    <mergeCell ref="G2:G3"/>
    <mergeCell ref="H2:O2"/>
    <mergeCell ref="P2:P3"/>
    <mergeCell ref="S2:U2"/>
    <mergeCell ref="W2:W3"/>
    <mergeCell ref="X2:X3"/>
    <mergeCell ref="Y2:Y3"/>
    <mergeCell ref="AA2:AB3"/>
    <mergeCell ref="Z2:Z3"/>
    <mergeCell ref="AC2:AC3"/>
    <mergeCell ref="AD2:AD3"/>
  </mergeCells>
  <conditionalFormatting sqref="M4:N106">
    <cfRule type="cellIs" dxfId="1" priority="3" stopIfTrue="1" operator="lessThan">
      <formula>0</formula>
    </cfRule>
  </conditionalFormatting>
  <conditionalFormatting sqref="AA4:AB106">
    <cfRule type="cellIs" dxfId="0" priority="1" stopIfTrue="1" operator="lessThan">
      <formula>0</formula>
    </cfRule>
  </conditionalFormatting>
  <dataValidations count="2">
    <dataValidation type="list" allowBlank="1" showInputMessage="1" showErrorMessage="1" sqref="S4:S106">
      <formula1>$AE$2:$AE$12</formula1>
    </dataValidation>
    <dataValidation type="list" allowBlank="1" showInputMessage="1" showErrorMessage="1" sqref="S3 T107:T65536">
      <formula1>$AF$1:$AF$4</formula1>
    </dataValidation>
  </dataValidations>
  <pageMargins left="0.75" right="0.75" top="1" bottom="1" header="0.5" footer="0.5"/>
  <pageSetup orientation="portrait"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Dynamic Spine Calculator</vt:lpstr>
      <vt:lpstr>Data Library</vt:lpstr>
    </vt:vector>
  </TitlesOfParts>
  <Company>MANN+HUMMEL USA,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smiller</dc:creator>
  <cp:lastModifiedBy>Vladislav Kholodkov</cp:lastModifiedBy>
  <dcterms:created xsi:type="dcterms:W3CDTF">2007-07-15T02:01:47Z</dcterms:created>
  <dcterms:modified xsi:type="dcterms:W3CDTF">2016-11-17T09:24:47Z</dcterms:modified>
</cp:coreProperties>
</file>